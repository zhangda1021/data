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960" yWindow="670" windowWidth="10710" windowHeight="7140" activeTab="5"/>
  </bookViews>
  <sheets>
    <sheet name="COAL" sheetId="1" r:id="rId1"/>
    <sheet name="FG" sheetId="5" r:id="rId2"/>
    <sheet name="OIL" sheetId="2" r:id="rId3"/>
    <sheet name="ROIL" sheetId="4" r:id="rId4"/>
    <sheet name="NG" sheetId="3" r:id="rId5"/>
    <sheet name="ELEH" sheetId="6" r:id="rId6"/>
    <sheet name="OTHE" sheetId="7" r:id="rId7"/>
    <sheet name="CONVERSION" sheetId="8" r:id="rId8"/>
  </sheets>
  <calcPr calcId="145621"/>
</workbook>
</file>

<file path=xl/calcChain.xml><?xml version="1.0" encoding="utf-8"?>
<calcChain xmlns="http://schemas.openxmlformats.org/spreadsheetml/2006/main">
  <c r="V3" i="6" l="1"/>
  <c r="X3" i="6" s="1"/>
  <c r="W3" i="6"/>
  <c r="V4" i="6"/>
  <c r="W4" i="6"/>
  <c r="V5" i="6"/>
  <c r="W5" i="6"/>
  <c r="X5" i="6" s="1"/>
  <c r="V6" i="6"/>
  <c r="W6" i="6"/>
  <c r="V7" i="6"/>
  <c r="X7" i="6" s="1"/>
  <c r="W7" i="6"/>
  <c r="V8" i="6"/>
  <c r="W8" i="6"/>
  <c r="V9" i="6"/>
  <c r="W9" i="6"/>
  <c r="X9" i="6" s="1"/>
  <c r="V10" i="6"/>
  <c r="W10" i="6"/>
  <c r="V11" i="6"/>
  <c r="X11" i="6" s="1"/>
  <c r="W11" i="6"/>
  <c r="V12" i="6"/>
  <c r="W12" i="6"/>
  <c r="V13" i="6"/>
  <c r="W13" i="6"/>
  <c r="X13" i="6" s="1"/>
  <c r="V14" i="6"/>
  <c r="W14" i="6"/>
  <c r="V15" i="6"/>
  <c r="X15" i="6" s="1"/>
  <c r="W15" i="6"/>
  <c r="V16" i="6"/>
  <c r="W16" i="6"/>
  <c r="V17" i="6"/>
  <c r="W17" i="6"/>
  <c r="X17" i="6" s="1"/>
  <c r="V18" i="6"/>
  <c r="W18" i="6"/>
  <c r="V19" i="6"/>
  <c r="X19" i="6" s="1"/>
  <c r="W19" i="6"/>
  <c r="V20" i="6"/>
  <c r="W20" i="6"/>
  <c r="V21" i="6"/>
  <c r="W21" i="6"/>
  <c r="X21" i="6" s="1"/>
  <c r="V22" i="6"/>
  <c r="W22" i="6"/>
  <c r="V23" i="6"/>
  <c r="X23" i="6" s="1"/>
  <c r="W23" i="6"/>
  <c r="V24" i="6"/>
  <c r="W24" i="6"/>
  <c r="V25" i="6"/>
  <c r="W25" i="6"/>
  <c r="X25" i="6" s="1"/>
  <c r="V26" i="6"/>
  <c r="W26" i="6"/>
  <c r="V27" i="6"/>
  <c r="X27" i="6" s="1"/>
  <c r="W27" i="6"/>
  <c r="V28" i="6"/>
  <c r="W28" i="6"/>
  <c r="V29" i="6"/>
  <c r="W29" i="6"/>
  <c r="X29" i="6" s="1"/>
  <c r="V30" i="6"/>
  <c r="W30" i="6"/>
  <c r="V31" i="6"/>
  <c r="X31" i="6" s="1"/>
  <c r="W31" i="6"/>
  <c r="X4" i="6"/>
  <c r="X6" i="6"/>
  <c r="X8" i="6"/>
  <c r="X10" i="6"/>
  <c r="X12" i="6"/>
  <c r="X14" i="6"/>
  <c r="X16" i="6"/>
  <c r="X18" i="6"/>
  <c r="X20" i="6"/>
  <c r="X22" i="6"/>
  <c r="X24" i="6"/>
  <c r="X26" i="6"/>
  <c r="X28" i="6"/>
  <c r="X30" i="6"/>
  <c r="X2" i="6"/>
  <c r="W2" i="6"/>
  <c r="V2" i="6"/>
  <c r="V3" i="7"/>
  <c r="W3" i="7"/>
  <c r="X3" i="7" s="1"/>
  <c r="V4" i="7"/>
  <c r="X4" i="7" s="1"/>
  <c r="W4" i="7"/>
  <c r="V5" i="7"/>
  <c r="W5" i="7"/>
  <c r="V6" i="7"/>
  <c r="X6" i="7" s="1"/>
  <c r="W6" i="7"/>
  <c r="V7" i="7"/>
  <c r="W7" i="7"/>
  <c r="X7" i="7" s="1"/>
  <c r="V8" i="7"/>
  <c r="X8" i="7" s="1"/>
  <c r="W8" i="7"/>
  <c r="V9" i="7"/>
  <c r="W9" i="7"/>
  <c r="V10" i="7"/>
  <c r="X10" i="7" s="1"/>
  <c r="W10" i="7"/>
  <c r="V11" i="7"/>
  <c r="W11" i="7"/>
  <c r="X11" i="7" s="1"/>
  <c r="V12" i="7"/>
  <c r="X12" i="7" s="1"/>
  <c r="W12" i="7"/>
  <c r="V13" i="7"/>
  <c r="W13" i="7"/>
  <c r="V14" i="7"/>
  <c r="X14" i="7" s="1"/>
  <c r="W14" i="7"/>
  <c r="V15" i="7"/>
  <c r="W15" i="7"/>
  <c r="X15" i="7" s="1"/>
  <c r="V16" i="7"/>
  <c r="X16" i="7" s="1"/>
  <c r="W16" i="7"/>
  <c r="V17" i="7"/>
  <c r="W17" i="7"/>
  <c r="V18" i="7"/>
  <c r="X18" i="7" s="1"/>
  <c r="W18" i="7"/>
  <c r="V19" i="7"/>
  <c r="W19" i="7"/>
  <c r="X19" i="7" s="1"/>
  <c r="V20" i="7"/>
  <c r="X20" i="7" s="1"/>
  <c r="W20" i="7"/>
  <c r="V21" i="7"/>
  <c r="W21" i="7"/>
  <c r="V22" i="7"/>
  <c r="X22" i="7" s="1"/>
  <c r="W22" i="7"/>
  <c r="V23" i="7"/>
  <c r="W23" i="7"/>
  <c r="X23" i="7" s="1"/>
  <c r="V24" i="7"/>
  <c r="X24" i="7" s="1"/>
  <c r="W24" i="7"/>
  <c r="V25" i="7"/>
  <c r="W25" i="7"/>
  <c r="V26" i="7"/>
  <c r="X26" i="7" s="1"/>
  <c r="W26" i="7"/>
  <c r="V27" i="7"/>
  <c r="W27" i="7"/>
  <c r="X27" i="7" s="1"/>
  <c r="V28" i="7"/>
  <c r="X28" i="7" s="1"/>
  <c r="W28" i="7"/>
  <c r="V29" i="7"/>
  <c r="W29" i="7"/>
  <c r="V30" i="7"/>
  <c r="X30" i="7" s="1"/>
  <c r="W30" i="7"/>
  <c r="V31" i="7"/>
  <c r="W31" i="7"/>
  <c r="X31" i="7" s="1"/>
  <c r="W2" i="7"/>
  <c r="V2" i="7"/>
  <c r="X5" i="7"/>
  <c r="X9" i="7"/>
  <c r="X13" i="7"/>
  <c r="X17" i="7"/>
  <c r="X21" i="7"/>
  <c r="X25" i="7"/>
  <c r="X29" i="7"/>
  <c r="X2" i="7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2" i="3"/>
  <c r="W2" i="3"/>
  <c r="V2" i="3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2" i="4"/>
  <c r="V3" i="2"/>
  <c r="W3" i="2"/>
  <c r="V4" i="2"/>
  <c r="W4" i="2"/>
  <c r="V5" i="2"/>
  <c r="W5" i="2"/>
  <c r="V6" i="2"/>
  <c r="W6" i="2"/>
  <c r="V7" i="2"/>
  <c r="W7" i="2"/>
  <c r="V8" i="2"/>
  <c r="W8" i="2"/>
  <c r="V9" i="2"/>
  <c r="W9" i="2"/>
  <c r="X9" i="2" s="1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X31" i="2" s="1"/>
  <c r="W2" i="2"/>
  <c r="V2" i="2"/>
  <c r="V3" i="5"/>
  <c r="W3" i="5"/>
  <c r="V4" i="5"/>
  <c r="W4" i="5"/>
  <c r="V5" i="5"/>
  <c r="W5" i="5"/>
  <c r="X5" i="5" s="1"/>
  <c r="V6" i="5"/>
  <c r="W6" i="5"/>
  <c r="V7" i="5"/>
  <c r="W7" i="5"/>
  <c r="X7" i="5" s="1"/>
  <c r="V8" i="5"/>
  <c r="W8" i="5"/>
  <c r="V9" i="5"/>
  <c r="W9" i="5"/>
  <c r="V10" i="5"/>
  <c r="W10" i="5"/>
  <c r="V11" i="5"/>
  <c r="W11" i="5"/>
  <c r="X11" i="5" s="1"/>
  <c r="V12" i="5"/>
  <c r="W12" i="5"/>
  <c r="V13" i="5"/>
  <c r="W13" i="5"/>
  <c r="V14" i="5"/>
  <c r="W14" i="5"/>
  <c r="V15" i="5"/>
  <c r="W15" i="5"/>
  <c r="V16" i="5"/>
  <c r="W16" i="5"/>
  <c r="V17" i="5"/>
  <c r="W17" i="5"/>
  <c r="V18" i="5"/>
  <c r="W18" i="5"/>
  <c r="V19" i="5"/>
  <c r="W19" i="5"/>
  <c r="V20" i="5"/>
  <c r="W20" i="5"/>
  <c r="V21" i="5"/>
  <c r="W21" i="5"/>
  <c r="V22" i="5"/>
  <c r="W22" i="5"/>
  <c r="V23" i="5"/>
  <c r="W23" i="5"/>
  <c r="V24" i="5"/>
  <c r="W24" i="5"/>
  <c r="V25" i="5"/>
  <c r="W25" i="5"/>
  <c r="V26" i="5"/>
  <c r="W26" i="5"/>
  <c r="V27" i="5"/>
  <c r="W27" i="5"/>
  <c r="V28" i="5"/>
  <c r="W28" i="5"/>
  <c r="V29" i="5"/>
  <c r="W29" i="5"/>
  <c r="X29" i="5" s="1"/>
  <c r="V30" i="5"/>
  <c r="W30" i="5"/>
  <c r="V31" i="5"/>
  <c r="W31" i="5"/>
  <c r="W2" i="5"/>
  <c r="V2" i="5"/>
  <c r="W31" i="3"/>
  <c r="V31" i="3"/>
  <c r="W30" i="3"/>
  <c r="V30" i="3"/>
  <c r="W29" i="3"/>
  <c r="V29" i="3"/>
  <c r="W28" i="3"/>
  <c r="V28" i="3"/>
  <c r="W27" i="3"/>
  <c r="V27" i="3"/>
  <c r="W26" i="3"/>
  <c r="V26" i="3"/>
  <c r="W25" i="3"/>
  <c r="V25" i="3"/>
  <c r="W24" i="3"/>
  <c r="V24" i="3"/>
  <c r="W23" i="3"/>
  <c r="V23" i="3"/>
  <c r="W22" i="3"/>
  <c r="V22" i="3"/>
  <c r="W21" i="3"/>
  <c r="V21" i="3"/>
  <c r="W20" i="3"/>
  <c r="V20" i="3"/>
  <c r="W19" i="3"/>
  <c r="V19" i="3"/>
  <c r="W18" i="3"/>
  <c r="V18" i="3"/>
  <c r="W17" i="3"/>
  <c r="V17" i="3"/>
  <c r="W16" i="3"/>
  <c r="V16" i="3"/>
  <c r="W15" i="3"/>
  <c r="V15" i="3"/>
  <c r="W14" i="3"/>
  <c r="V14" i="3"/>
  <c r="W13" i="3"/>
  <c r="V13" i="3"/>
  <c r="W12" i="3"/>
  <c r="V12" i="3"/>
  <c r="W11" i="3"/>
  <c r="V11" i="3"/>
  <c r="W10" i="3"/>
  <c r="V10" i="3"/>
  <c r="W9" i="3"/>
  <c r="V9" i="3"/>
  <c r="W8" i="3"/>
  <c r="V8" i="3"/>
  <c r="W7" i="3"/>
  <c r="V7" i="3"/>
  <c r="W6" i="3"/>
  <c r="V6" i="3"/>
  <c r="W5" i="3"/>
  <c r="V5" i="3"/>
  <c r="W4" i="3"/>
  <c r="V4" i="3"/>
  <c r="W3" i="3"/>
  <c r="V3" i="3"/>
  <c r="X19" i="2"/>
  <c r="X11" i="2"/>
  <c r="X5" i="2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W2" i="1"/>
  <c r="X23" i="5" l="1"/>
  <c r="X30" i="2"/>
  <c r="X13" i="2"/>
  <c r="X15" i="5"/>
  <c r="X31" i="4"/>
  <c r="X18" i="4"/>
  <c r="X17" i="4"/>
  <c r="X11" i="4"/>
  <c r="X30" i="4"/>
  <c r="X29" i="4"/>
  <c r="X28" i="4"/>
  <c r="X27" i="4"/>
  <c r="X26" i="4"/>
  <c r="X25" i="4"/>
  <c r="X24" i="4"/>
  <c r="X23" i="4"/>
  <c r="X22" i="4"/>
  <c r="X21" i="4"/>
  <c r="X20" i="4"/>
  <c r="X19" i="4"/>
  <c r="X16" i="4"/>
  <c r="X15" i="4"/>
  <c r="X14" i="4"/>
  <c r="X13" i="4"/>
  <c r="X12" i="4"/>
  <c r="X10" i="4"/>
  <c r="X9" i="4"/>
  <c r="X8" i="4"/>
  <c r="X7" i="4"/>
  <c r="X6" i="4"/>
  <c r="X5" i="4"/>
  <c r="X4" i="4"/>
  <c r="X3" i="4"/>
  <c r="X2" i="4"/>
  <c r="X31" i="5"/>
  <c r="X30" i="5"/>
  <c r="X28" i="5"/>
  <c r="X27" i="5"/>
  <c r="X26" i="5"/>
  <c r="X25" i="5"/>
  <c r="X24" i="5"/>
  <c r="X22" i="5"/>
  <c r="X21" i="5"/>
  <c r="X20" i="5"/>
  <c r="X19" i="5"/>
  <c r="X18" i="5"/>
  <c r="X17" i="5"/>
  <c r="X16" i="5"/>
  <c r="X14" i="5"/>
  <c r="X13" i="5"/>
  <c r="X12" i="5"/>
  <c r="X10" i="5"/>
  <c r="X9" i="5"/>
  <c r="X8" i="5"/>
  <c r="X6" i="5"/>
  <c r="X4" i="5"/>
  <c r="X3" i="5"/>
  <c r="X2" i="5"/>
  <c r="X29" i="2"/>
  <c r="X28" i="2"/>
  <c r="X27" i="2"/>
  <c r="X26" i="2"/>
  <c r="X25" i="2"/>
  <c r="X24" i="2"/>
  <c r="X23" i="2"/>
  <c r="X22" i="2"/>
  <c r="X21" i="2"/>
  <c r="X20" i="2"/>
  <c r="X18" i="2"/>
  <c r="X17" i="2"/>
  <c r="X16" i="2"/>
  <c r="X15" i="2"/>
  <c r="X14" i="2"/>
  <c r="X12" i="2"/>
  <c r="X10" i="2"/>
  <c r="X8" i="2"/>
  <c r="X7" i="2"/>
  <c r="X6" i="2"/>
  <c r="X4" i="2"/>
  <c r="X3" i="2"/>
  <c r="X2" i="2"/>
  <c r="X19" i="1"/>
  <c r="X26" i="1"/>
  <c r="X14" i="1"/>
  <c r="X10" i="1"/>
  <c r="X31" i="1"/>
  <c r="X30" i="1"/>
  <c r="X29" i="1"/>
  <c r="X28" i="1"/>
  <c r="X27" i="1"/>
  <c r="X25" i="1"/>
  <c r="X24" i="1"/>
  <c r="X23" i="1"/>
  <c r="X22" i="1"/>
  <c r="X21" i="1"/>
  <c r="X20" i="1"/>
  <c r="X18" i="1"/>
  <c r="X17" i="1"/>
  <c r="X16" i="1"/>
  <c r="X15" i="1"/>
  <c r="X13" i="1"/>
  <c r="X12" i="1"/>
  <c r="X11" i="1"/>
  <c r="X9" i="1"/>
  <c r="X8" i="1"/>
  <c r="X7" i="1"/>
  <c r="X6" i="1"/>
  <c r="X5" i="1"/>
  <c r="X4" i="1"/>
  <c r="X3" i="1"/>
  <c r="V2" i="1"/>
  <c r="X2" i="1" s="1"/>
  <c r="D6" i="8"/>
  <c r="D7" i="8"/>
  <c r="D8" i="8"/>
  <c r="D9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5" i="8"/>
</calcChain>
</file>

<file path=xl/sharedStrings.xml><?xml version="1.0" encoding="utf-8"?>
<sst xmlns="http://schemas.openxmlformats.org/spreadsheetml/2006/main" count="484" uniqueCount="159">
  <si>
    <t>BEJ</t>
  </si>
  <si>
    <t>TAJ</t>
  </si>
  <si>
    <t>HEB</t>
  </si>
  <si>
    <t>SHX</t>
  </si>
  <si>
    <t>NMG</t>
  </si>
  <si>
    <t>LIA</t>
  </si>
  <si>
    <t>JIL</t>
  </si>
  <si>
    <t>HLJ</t>
  </si>
  <si>
    <t>SHH</t>
  </si>
  <si>
    <t>JSU</t>
  </si>
  <si>
    <t>ZHJ</t>
  </si>
  <si>
    <t>ANH</t>
  </si>
  <si>
    <t>FUJ</t>
  </si>
  <si>
    <t>JXI</t>
  </si>
  <si>
    <t>SHD</t>
  </si>
  <si>
    <t>HEN</t>
  </si>
  <si>
    <t>HUB</t>
  </si>
  <si>
    <t>HUN</t>
  </si>
  <si>
    <t>GUD</t>
  </si>
  <si>
    <t>GXI</t>
  </si>
  <si>
    <t>HAI</t>
  </si>
  <si>
    <t>CHQ</t>
  </si>
  <si>
    <t>SIC</t>
  </si>
  <si>
    <t>GZH</t>
  </si>
  <si>
    <t>YUN</t>
  </si>
  <si>
    <t>SHA</t>
  </si>
  <si>
    <t>GAN</t>
  </si>
  <si>
    <t>NXA</t>
  </si>
  <si>
    <t>QIH</t>
  </si>
  <si>
    <t>XIN</t>
  </si>
  <si>
    <t>COAL</t>
  </si>
  <si>
    <t>PROD</t>
  </si>
  <si>
    <t>DX</t>
  </si>
  <si>
    <t>X</t>
  </si>
  <si>
    <t>RC</t>
  </si>
  <si>
    <t>DRC</t>
  </si>
  <si>
    <t>ROIL</t>
  </si>
  <si>
    <t>FG</t>
  </si>
  <si>
    <t>ELEH</t>
  </si>
  <si>
    <t>AGR</t>
  </si>
  <si>
    <t>IND</t>
  </si>
  <si>
    <t>CON</t>
  </si>
  <si>
    <t>TP</t>
  </si>
  <si>
    <t>OTH</t>
  </si>
  <si>
    <t>FU</t>
  </si>
  <si>
    <t>OTHE</t>
  </si>
  <si>
    <t>NG</t>
  </si>
  <si>
    <t>OIL</t>
  </si>
  <si>
    <t>WRHR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</si>
  <si>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</si>
  <si>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</si>
  <si>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</si>
  <si>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</si>
  <si>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</si>
  <si>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</si>
  <si>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</si>
  <si>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</si>
  <si>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</si>
  <si>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</si>
  <si>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</si>
  <si>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</si>
  <si>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</si>
  <si>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</si>
  <si>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</si>
  <si>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</si>
  <si>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</si>
  <si>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</si>
  <si>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</si>
  <si>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</si>
  <si>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</si>
  <si>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</si>
  <si>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</si>
  <si>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</si>
  <si>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</si>
  <si>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</si>
  <si>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</si>
  <si>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</si>
  <si>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</si>
  <si>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</si>
  <si>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</si>
  <si>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</si>
  <si>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</si>
  <si>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</si>
  <si>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</si>
  <si>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</si>
  <si>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</si>
  <si>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</si>
  <si>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</si>
  <si>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</si>
  <si>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洗 精 煤</t>
    <phoneticPr fontId="0" type="noConversion"/>
  </si>
  <si>
    <r>
      <t xml:space="preserve">26 344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</si>
  <si>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0.9000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</si>
  <si>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8 363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</si>
  <si>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0.2857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</si>
  <si>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>8 363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千克</t>
    </r>
  </si>
  <si>
    <r>
      <t>0.2857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</si>
  <si>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28 435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</si>
  <si>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</si>
  <si>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41 816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</si>
  <si>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</si>
  <si>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燃 料 油</t>
    <phoneticPr fontId="0" type="noConversion"/>
  </si>
  <si>
    <r>
      <t xml:space="preserve">43 070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</si>
  <si>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</si>
  <si>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42 652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</si>
  <si>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</si>
  <si>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50 179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</si>
  <si>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</si>
  <si>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46055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</si>
  <si>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1.5714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</si>
  <si>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天 然 气</t>
    <phoneticPr fontId="0" type="noConversion"/>
  </si>
  <si>
    <r>
      <t>38 931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</si>
  <si>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1.3300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</si>
  <si>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>16 726</t>
    </r>
    <r>
      <rPr>
        <sz val="10"/>
        <rFont val="宋体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立方米</t>
    </r>
  </si>
  <si>
    <r>
      <t>0.5714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</si>
  <si>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发 生 炉 煤 气</t>
    <phoneticPr fontId="0" type="noConversion"/>
  </si>
  <si>
    <r>
      <t xml:space="preserve">5 227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</si>
  <si>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0.1786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</si>
  <si>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19 235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</si>
  <si>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0.6571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</si>
  <si>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35 544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</si>
  <si>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1.2143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</si>
  <si>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焦炭制气</t>
    <phoneticPr fontId="0" type="noConversion"/>
  </si>
  <si>
    <r>
      <t xml:space="preserve">16 308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</si>
  <si>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</si>
  <si>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15 054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</si>
  <si>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</si>
  <si>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10 454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</si>
  <si>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0.3571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</si>
  <si>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33 453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</si>
  <si>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1.1429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</si>
  <si>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热力(当量)</t>
    <phoneticPr fontId="0" type="noConversion"/>
  </si>
  <si>
    <r>
      <t xml:space="preserve">0.03412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百万焦耳</t>
    </r>
  </si>
  <si>
    <r>
      <t xml:space="preserve">(0.14286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>)</t>
    </r>
  </si>
  <si>
    <t>电力(当量)</t>
    <phoneticPr fontId="0" type="noConversion"/>
  </si>
  <si>
    <r>
      <t xml:space="preserve">3 596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千瓦小时</t>
    </r>
  </si>
  <si>
    <r>
      <t xml:space="preserve">0.1229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千瓦小时</t>
    </r>
  </si>
  <si>
    <t xml:space="preserve">    (等价)</t>
    <phoneticPr fontId="0" type="noConversion"/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</si>
  <si>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算</t>
    </r>
  </si>
  <si>
    <r>
      <t xml:space="preserve">18 817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</si>
  <si>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0.643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</si>
  <si>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13 799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</si>
  <si>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</si>
  <si>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</si>
  <si>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</si>
  <si>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15 472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</si>
  <si>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</si>
  <si>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15 890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</si>
  <si>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</si>
  <si>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14 635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</si>
  <si>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</si>
  <si>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16 726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</si>
  <si>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</si>
  <si>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</si>
  <si>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</si>
  <si>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/>
  </si>
  <si>
    <t>型煤</t>
  </si>
  <si>
    <t>INV</t>
  </si>
  <si>
    <t>其他焦化产品</t>
  </si>
  <si>
    <t>其他石油产品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</si>
</sst>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"/>
  </numFmts>
  <fonts count="4">
    <font>
      <sz val="11"/>
      <color theme="1"/>
      <name val="Calibri"/>
      <family val="2"/>
      <scheme val="minor"/>
    </font>
    <font>
      <sz val="16"/>
      <name val="黑体"/>
      <charset val="134"/>
    </font>
    <font>
      <sz val="10"/>
      <name val="宋体"/>
      <charset val="134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/>
    <xf numFmtId="0" fontId="0" fillId="2" borderId="0" xfId="0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2" fillId="5" borderId="4" xfId="0" applyFont="1" applyFill="1" applyBorder="1" applyAlignment="1">
      <alignment horizontal="left" vertical="center"/>
    </xf>
    <xf numFmtId="0" fontId="0" fillId="5" borderId="0" xfId="0" applyFill="1"/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3"/>
  <sheetViews>
    <sheetView topLeftCell="D1" zoomScale="70" zoomScaleNormal="70" workbookViewId="0">
      <selection activeCell="G1" sqref="G1:G1048576"/>
    </sheetView>
  </sheetViews>
  <sheetFormatPr defaultRowHeight="14.5"/>
  <cols>
    <col min="2" max="2" width="11.08984375" customWidth="1"/>
    <col min="3" max="3" width="10.6328125" customWidth="1"/>
    <col min="6" max="6" width="10.1796875" customWidth="1"/>
    <col min="7" max="9" width="10.453125" customWidth="1"/>
    <col min="10" max="10" width="9.81640625" customWidth="1"/>
    <col min="12" max="13" width="9.7265625" customWidth="1"/>
    <col min="22" max="22" width="10.6328125" customWidth="1"/>
  </cols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620.49790000000007</v>
      </c>
      <c r="C2">
        <v>298.931532</v>
      </c>
      <c r="D2">
        <v>135.016986</v>
      </c>
      <c r="E2">
        <v>2147.0019440000001</v>
      </c>
      <c r="F2">
        <v>0</v>
      </c>
      <c r="G2">
        <v>0</v>
      </c>
      <c r="H2">
        <v>0</v>
      </c>
      <c r="J2">
        <v>205.51444800000002</v>
      </c>
      <c r="L2">
        <v>969.19003899999996</v>
      </c>
      <c r="N2">
        <v>36.365012999999998</v>
      </c>
      <c r="O2">
        <v>492.05236300000007</v>
      </c>
      <c r="P2">
        <v>11.407371000000001</v>
      </c>
      <c r="Q2">
        <v>19.493247</v>
      </c>
      <c r="R2">
        <v>43.015146000000001</v>
      </c>
      <c r="S2">
        <v>193.061004</v>
      </c>
      <c r="T2">
        <v>197.86110000000002</v>
      </c>
      <c r="U2">
        <v>165.69153100000003</v>
      </c>
      <c r="V2" s="3">
        <f>B2+G2+E2+F2</f>
        <v>2767.4998439999999</v>
      </c>
      <c r="W2" s="3">
        <f>C2+D2+SUM(H2:U2)</f>
        <v>2767.59978</v>
      </c>
      <c r="X2" s="3">
        <f>V2-W2</f>
        <v>-9.9936000000070635E-2</v>
      </c>
    </row>
    <row r="3" spans="1:24">
      <c r="A3" s="1" t="s">
        <v>1</v>
      </c>
      <c r="B3">
        <v>171.90433199999998</v>
      </c>
      <c r="C3">
        <v>3.571499999988631E-2</v>
      </c>
      <c r="D3">
        <v>0</v>
      </c>
      <c r="E3">
        <v>2938.1910088569998</v>
      </c>
      <c r="F3">
        <v>0</v>
      </c>
      <c r="G3">
        <v>0</v>
      </c>
      <c r="H3">
        <v>0</v>
      </c>
      <c r="J3">
        <v>380.10599999999999</v>
      </c>
      <c r="L3">
        <v>1728.2988510000002</v>
      </c>
      <c r="N3">
        <v>12.214530000000002</v>
      </c>
      <c r="O3">
        <v>634.9824329999999</v>
      </c>
      <c r="P3">
        <v>15.836031000000002</v>
      </c>
      <c r="Q3">
        <v>11.064507000000001</v>
      </c>
      <c r="R3">
        <v>28.300566</v>
      </c>
      <c r="S3">
        <v>38.986494</v>
      </c>
      <c r="T3">
        <v>53.915364000000004</v>
      </c>
      <c r="U3">
        <v>206.35484100000002</v>
      </c>
      <c r="V3" s="3">
        <f t="shared" ref="V3:V31" si="0">B3+G3+E3+F3</f>
        <v>3110.0953408569999</v>
      </c>
      <c r="W3" s="3">
        <f t="shared" ref="W3:W31" si="1">C3+D3+SUM(H3:U3)</f>
        <v>3110.0953320000003</v>
      </c>
      <c r="X3" s="3">
        <f t="shared" ref="X3:X31" si="2">V3-W3</f>
        <v>8.8569995568832383E-6</v>
      </c>
    </row>
    <row r="4" spans="1:24">
      <c r="A4" s="1" t="s">
        <v>2</v>
      </c>
      <c r="B4">
        <v>6923.3623719999996</v>
      </c>
      <c r="C4">
        <v>1854.6116175282004</v>
      </c>
      <c r="D4">
        <v>204.12652200000002</v>
      </c>
      <c r="E4">
        <v>14247.265713016686</v>
      </c>
      <c r="F4">
        <v>8.9414400000000018</v>
      </c>
      <c r="G4">
        <v>-1007.8427759999995</v>
      </c>
      <c r="H4">
        <v>16.429770000000001</v>
      </c>
      <c r="J4">
        <v>4718.9772910000002</v>
      </c>
      <c r="L4">
        <v>6292.528026</v>
      </c>
      <c r="N4">
        <v>15.687738</v>
      </c>
      <c r="O4">
        <v>5056.8634782964855</v>
      </c>
      <c r="P4">
        <v>26.543379000000002</v>
      </c>
      <c r="Q4">
        <v>31.585295940000005</v>
      </c>
      <c r="R4">
        <v>33.767532000000003</v>
      </c>
      <c r="S4">
        <v>151.10376678</v>
      </c>
      <c r="T4">
        <v>586.94906190200027</v>
      </c>
      <c r="U4">
        <v>1182.5533420000002</v>
      </c>
      <c r="V4" s="3">
        <f t="shared" si="0"/>
        <v>20171.726749016685</v>
      </c>
      <c r="W4" s="3">
        <f t="shared" si="1"/>
        <v>20171.726820446685</v>
      </c>
      <c r="X4" s="3">
        <f t="shared" si="2"/>
        <v>-7.1430000389227644E-5</v>
      </c>
    </row>
    <row r="5" spans="1:24">
      <c r="A5" s="1" t="s">
        <v>3</v>
      </c>
      <c r="B5">
        <v>45228.542726</v>
      </c>
      <c r="C5">
        <v>36249.145668999998</v>
      </c>
      <c r="D5">
        <v>2090.7561000000001</v>
      </c>
      <c r="E5">
        <v>15922.695348000001</v>
      </c>
      <c r="F5">
        <v>0</v>
      </c>
      <c r="G5">
        <v>0</v>
      </c>
      <c r="H5">
        <v>22.702931999999997</v>
      </c>
      <c r="J5">
        <v>12182.127310000002</v>
      </c>
      <c r="L5">
        <v>5901.4265640000012</v>
      </c>
      <c r="N5">
        <v>71.680004999999994</v>
      </c>
      <c r="O5">
        <v>2534.745073</v>
      </c>
      <c r="P5">
        <v>42.329418000000004</v>
      </c>
      <c r="Q5">
        <v>39.007923000000005</v>
      </c>
      <c r="R5">
        <v>46.87236</v>
      </c>
      <c r="S5">
        <v>26.243382000000004</v>
      </c>
      <c r="T5">
        <v>413.02531799999997</v>
      </c>
      <c r="U5">
        <v>1856.304108</v>
      </c>
      <c r="V5" s="3">
        <f t="shared" si="0"/>
        <v>61151.238074000001</v>
      </c>
      <c r="W5" s="3">
        <f t="shared" si="1"/>
        <v>61476.366162000006</v>
      </c>
      <c r="X5" s="3">
        <f t="shared" si="2"/>
        <v>-325.12808800000494</v>
      </c>
    </row>
    <row r="6" spans="1:24">
      <c r="A6" s="1" t="s">
        <v>4</v>
      </c>
      <c r="B6">
        <v>26319.605548769996</v>
      </c>
      <c r="C6">
        <v>12364.256566</v>
      </c>
      <c r="D6">
        <v>921.71843400000012</v>
      </c>
      <c r="E6">
        <v>1132.5400465744024</v>
      </c>
      <c r="F6">
        <v>509.807907</v>
      </c>
      <c r="G6">
        <v>-996.53143708820016</v>
      </c>
      <c r="H6">
        <v>0</v>
      </c>
      <c r="J6">
        <v>1775.0573659416</v>
      </c>
      <c r="L6">
        <v>8289.7660433429992</v>
      </c>
      <c r="N6">
        <v>75.407935000000009</v>
      </c>
      <c r="O6">
        <v>1482.4795468183997</v>
      </c>
      <c r="P6">
        <v>61.339261</v>
      </c>
      <c r="Q6">
        <v>89.665683610000002</v>
      </c>
      <c r="R6">
        <v>132.83599199999998</v>
      </c>
      <c r="S6">
        <v>133.67894000000001</v>
      </c>
      <c r="T6">
        <v>346.86680700000016</v>
      </c>
      <c r="U6">
        <v>1292.3494905431999</v>
      </c>
      <c r="V6" s="3">
        <f t="shared" si="0"/>
        <v>26965.422065256196</v>
      </c>
      <c r="W6" s="3">
        <f t="shared" si="1"/>
        <v>26965.4220652562</v>
      </c>
      <c r="X6" s="3">
        <f t="shared" si="2"/>
        <v>0</v>
      </c>
    </row>
    <row r="7" spans="1:24">
      <c r="A7" s="2" t="s">
        <v>5</v>
      </c>
      <c r="B7">
        <v>5486.3418610000008</v>
      </c>
      <c r="C7">
        <v>582.86532900000009</v>
      </c>
      <c r="D7">
        <v>0</v>
      </c>
      <c r="E7">
        <v>7261.8701719999999</v>
      </c>
      <c r="F7">
        <v>125.00250000000001</v>
      </c>
      <c r="G7">
        <v>-1161.5972690000003</v>
      </c>
      <c r="H7">
        <v>7.0830000000000002</v>
      </c>
      <c r="J7">
        <v>2074.518</v>
      </c>
      <c r="L7">
        <v>5256.4030019999991</v>
      </c>
      <c r="N7">
        <v>87.15174300000001</v>
      </c>
      <c r="O7">
        <v>2314.3858870000004</v>
      </c>
      <c r="P7">
        <v>55.151055999999997</v>
      </c>
      <c r="Q7">
        <v>64.117506000000006</v>
      </c>
      <c r="R7">
        <v>21.729006000000002</v>
      </c>
      <c r="S7">
        <v>37.122171000000002</v>
      </c>
      <c r="T7">
        <v>305.0191650000001</v>
      </c>
      <c r="U7">
        <v>906.07139899999993</v>
      </c>
      <c r="V7" s="3">
        <f t="shared" si="0"/>
        <v>11711.617264000002</v>
      </c>
      <c r="W7" s="3">
        <f t="shared" si="1"/>
        <v>11711.617264000002</v>
      </c>
      <c r="X7" s="3">
        <f t="shared" si="2"/>
        <v>0</v>
      </c>
    </row>
    <row r="8" spans="1:24">
      <c r="A8" s="1" t="s">
        <v>6</v>
      </c>
      <c r="B8">
        <v>2866.0087009999997</v>
      </c>
      <c r="C8">
        <v>424.46246000000019</v>
      </c>
      <c r="D8">
        <v>12.721683000000001</v>
      </c>
      <c r="E8">
        <v>3786.8474550000001</v>
      </c>
      <c r="F8">
        <v>9.3716159999999995</v>
      </c>
      <c r="G8">
        <v>-123.81854900000003</v>
      </c>
      <c r="H8">
        <v>107.27623800000001</v>
      </c>
      <c r="J8">
        <v>345.08699999999999</v>
      </c>
      <c r="L8">
        <v>2781.3662340000001</v>
      </c>
      <c r="N8">
        <v>54.793953000000002</v>
      </c>
      <c r="O8">
        <v>1730.5096970000002</v>
      </c>
      <c r="P8">
        <v>57.258288</v>
      </c>
      <c r="Q8">
        <v>64.537668000000011</v>
      </c>
      <c r="R8">
        <v>123.84533400000001</v>
      </c>
      <c r="S8">
        <v>189.11806799999999</v>
      </c>
      <c r="T8">
        <v>192.18575999999987</v>
      </c>
      <c r="U8">
        <v>455.24684000000002</v>
      </c>
      <c r="V8" s="3">
        <f t="shared" si="0"/>
        <v>6538.4092230000006</v>
      </c>
      <c r="W8" s="3">
        <f t="shared" si="1"/>
        <v>6538.4092229999997</v>
      </c>
      <c r="X8" s="3">
        <f t="shared" si="2"/>
        <v>0</v>
      </c>
    </row>
    <row r="9" spans="1:24">
      <c r="A9" s="1" t="s">
        <v>7</v>
      </c>
      <c r="B9">
        <v>7761.4216509999997</v>
      </c>
      <c r="C9">
        <v>2194.0375870000003</v>
      </c>
      <c r="D9">
        <v>6.7858500000000008</v>
      </c>
      <c r="E9">
        <v>2293.2354090000008</v>
      </c>
      <c r="F9">
        <v>1.0000199999999999</v>
      </c>
      <c r="G9">
        <v>-1019.5061000000003</v>
      </c>
      <c r="H9">
        <v>140.914974</v>
      </c>
      <c r="J9">
        <v>876.79894399999989</v>
      </c>
      <c r="L9">
        <v>3475.6834760000006</v>
      </c>
      <c r="N9">
        <v>31.914924000000003</v>
      </c>
      <c r="O9">
        <v>1394.4407460000002</v>
      </c>
      <c r="P9">
        <v>3.4929269999999999</v>
      </c>
      <c r="Q9">
        <v>89.873226000000003</v>
      </c>
      <c r="R9">
        <v>0</v>
      </c>
      <c r="S9">
        <v>0</v>
      </c>
      <c r="T9">
        <v>107.56643699999999</v>
      </c>
      <c r="U9">
        <v>714.64188899999999</v>
      </c>
      <c r="V9" s="3">
        <f t="shared" si="0"/>
        <v>9036.1509799999985</v>
      </c>
      <c r="W9" s="3">
        <f t="shared" si="1"/>
        <v>9036.1509800000022</v>
      </c>
      <c r="X9" s="3">
        <f t="shared" si="2"/>
        <v>0</v>
      </c>
    </row>
    <row r="10" spans="1:24">
      <c r="A10" s="1" t="s">
        <v>8</v>
      </c>
      <c r="B10">
        <v>136.0491089999997</v>
      </c>
      <c r="C10">
        <v>3135.4848345216933</v>
      </c>
      <c r="D10">
        <v>0</v>
      </c>
      <c r="E10">
        <v>7097.6616000000013</v>
      </c>
      <c r="F10">
        <v>0</v>
      </c>
      <c r="G10">
        <v>0</v>
      </c>
      <c r="H10">
        <v>33.368751000000003</v>
      </c>
      <c r="J10">
        <v>999.39600000000007</v>
      </c>
      <c r="L10">
        <v>2175.8506590000002</v>
      </c>
      <c r="N10">
        <v>1.4286000000000001</v>
      </c>
      <c r="O10">
        <v>623.08030947830639</v>
      </c>
      <c r="P10">
        <v>7.4287200000000011</v>
      </c>
      <c r="Q10">
        <v>4.228656</v>
      </c>
      <c r="R10">
        <v>30.129174000000003</v>
      </c>
      <c r="S10">
        <v>33.572099999999999</v>
      </c>
      <c r="T10">
        <v>70.772843999999949</v>
      </c>
      <c r="U10">
        <v>118.970061</v>
      </c>
      <c r="V10" s="3">
        <f t="shared" si="0"/>
        <v>7233.7107090000009</v>
      </c>
      <c r="W10" s="3">
        <f t="shared" si="1"/>
        <v>7233.710709</v>
      </c>
      <c r="X10" s="3">
        <f t="shared" si="2"/>
        <v>0</v>
      </c>
    </row>
    <row r="11" spans="1:24">
      <c r="A11" s="1" t="s">
        <v>9</v>
      </c>
      <c r="B11">
        <v>2259.6087320000006</v>
      </c>
      <c r="C11">
        <v>355.58676100000002</v>
      </c>
      <c r="D11">
        <v>47.143800000000006</v>
      </c>
      <c r="E11">
        <v>12948.270949899999</v>
      </c>
      <c r="F11">
        <v>171.43200000000002</v>
      </c>
      <c r="G11">
        <v>-141.67530599999998</v>
      </c>
      <c r="H11">
        <v>2.8304399999999998</v>
      </c>
      <c r="J11">
        <v>1336.253271</v>
      </c>
      <c r="L11">
        <v>8945.8422959000018</v>
      </c>
      <c r="N11">
        <v>45.008043000000001</v>
      </c>
      <c r="O11">
        <v>3757.5589680000003</v>
      </c>
      <c r="P11">
        <v>3.21435</v>
      </c>
      <c r="Q11">
        <v>30.21489</v>
      </c>
      <c r="R11">
        <v>28.572000000000003</v>
      </c>
      <c r="S11">
        <v>0</v>
      </c>
      <c r="T11">
        <v>67.356842999999643</v>
      </c>
      <c r="U11">
        <v>618.05471399999999</v>
      </c>
      <c r="V11" s="3">
        <f t="shared" si="0"/>
        <v>15237.636375900001</v>
      </c>
      <c r="W11" s="3">
        <f t="shared" si="1"/>
        <v>15237.6363759</v>
      </c>
      <c r="X11" s="3">
        <f t="shared" si="2"/>
        <v>0</v>
      </c>
    </row>
    <row r="12" spans="1:24">
      <c r="A12" s="1" t="s">
        <v>10</v>
      </c>
      <c r="B12">
        <v>459.96072208000044</v>
      </c>
      <c r="C12">
        <v>5.1785000000189405E-3</v>
      </c>
      <c r="D12">
        <v>0</v>
      </c>
      <c r="E12">
        <v>9185.2725106500002</v>
      </c>
      <c r="F12">
        <v>137.22731592</v>
      </c>
      <c r="G12">
        <v>5.7005357099999898</v>
      </c>
      <c r="H12">
        <v>0</v>
      </c>
      <c r="J12">
        <v>130.96952436000001</v>
      </c>
      <c r="L12">
        <v>6642.3141599999999</v>
      </c>
      <c r="N12">
        <v>6.5289877199999999</v>
      </c>
      <c r="O12">
        <v>2459.6128712099999</v>
      </c>
      <c r="P12">
        <v>7.1430000000000007</v>
      </c>
      <c r="Q12">
        <v>2.7976273800000002</v>
      </c>
      <c r="R12">
        <v>21.100349999999999</v>
      </c>
      <c r="S12">
        <v>0</v>
      </c>
      <c r="T12">
        <v>54.336999900000286</v>
      </c>
      <c r="U12">
        <v>463.35238528999997</v>
      </c>
      <c r="V12" s="3">
        <f t="shared" si="0"/>
        <v>9788.1610843599992</v>
      </c>
      <c r="W12" s="3">
        <f t="shared" si="1"/>
        <v>9788.1610843599992</v>
      </c>
      <c r="X12" s="3">
        <f t="shared" si="2"/>
        <v>0</v>
      </c>
    </row>
    <row r="13" spans="1:24">
      <c r="A13" s="1" t="s">
        <v>11</v>
      </c>
      <c r="B13">
        <v>6935.6566750000002</v>
      </c>
      <c r="C13">
        <v>2129.3911927169679</v>
      </c>
      <c r="D13">
        <v>0</v>
      </c>
      <c r="E13">
        <v>2418.8768409121303</v>
      </c>
      <c r="F13">
        <v>59.588999999999999</v>
      </c>
      <c r="G13">
        <v>-400.84805208000006</v>
      </c>
      <c r="H13">
        <v>44.414999999999999</v>
      </c>
      <c r="J13">
        <v>764.31238500000006</v>
      </c>
      <c r="L13">
        <v>2987.8577410000007</v>
      </c>
      <c r="N13">
        <v>26.436243000000001</v>
      </c>
      <c r="O13">
        <v>2397.6005691151636</v>
      </c>
      <c r="P13">
        <v>27.179114999999999</v>
      </c>
      <c r="Q13">
        <v>10.907361</v>
      </c>
      <c r="R13">
        <v>45.715200000000003</v>
      </c>
      <c r="S13">
        <v>19.643250000000002</v>
      </c>
      <c r="T13">
        <v>258.72000000000014</v>
      </c>
      <c r="U13">
        <v>301.09640699999994</v>
      </c>
      <c r="V13" s="3">
        <f t="shared" si="0"/>
        <v>9013.274463832131</v>
      </c>
      <c r="W13" s="3">
        <f t="shared" si="1"/>
        <v>9013.274463832131</v>
      </c>
      <c r="X13" s="3">
        <f t="shared" si="2"/>
        <v>0</v>
      </c>
    </row>
    <row r="14" spans="1:24">
      <c r="A14" s="1" t="s">
        <v>12</v>
      </c>
      <c r="B14">
        <v>1719.0073640000003</v>
      </c>
      <c r="C14">
        <v>239.17364971430001</v>
      </c>
      <c r="D14">
        <v>0</v>
      </c>
      <c r="E14">
        <v>2954.2130338570005</v>
      </c>
      <c r="F14">
        <v>131.07405</v>
      </c>
      <c r="G14">
        <v>6.5512969999999946</v>
      </c>
      <c r="H14">
        <v>0.77858700000000014</v>
      </c>
      <c r="J14">
        <v>98.087901000000002</v>
      </c>
      <c r="L14">
        <v>2337.5681789999999</v>
      </c>
      <c r="N14">
        <v>44.672322000000001</v>
      </c>
      <c r="O14">
        <v>1729.9900670000002</v>
      </c>
      <c r="P14">
        <v>5.6429700000000009</v>
      </c>
      <c r="Q14">
        <v>4.1429400000000003</v>
      </c>
      <c r="R14">
        <v>20.336121000000002</v>
      </c>
      <c r="S14">
        <v>45.600912000000008</v>
      </c>
      <c r="T14">
        <v>96.073350000000147</v>
      </c>
      <c r="U14">
        <v>188.77874299999999</v>
      </c>
      <c r="V14" s="3">
        <f t="shared" si="0"/>
        <v>4810.8457448570007</v>
      </c>
      <c r="W14" s="3">
        <f t="shared" si="1"/>
        <v>4810.8457417143009</v>
      </c>
      <c r="X14" s="3">
        <f t="shared" si="2"/>
        <v>3.1426998248207383E-6</v>
      </c>
    </row>
    <row r="15" spans="1:24">
      <c r="A15" s="1" t="s">
        <v>13</v>
      </c>
      <c r="B15">
        <v>2315.5971060000002</v>
      </c>
      <c r="C15">
        <v>404.85431599999998</v>
      </c>
      <c r="D15">
        <v>0</v>
      </c>
      <c r="E15">
        <v>2015.896332</v>
      </c>
      <c r="F15">
        <v>0</v>
      </c>
      <c r="G15">
        <v>0</v>
      </c>
      <c r="H15">
        <v>120.11015699999999</v>
      </c>
      <c r="J15">
        <v>529.04700000000003</v>
      </c>
      <c r="L15">
        <v>1687.1665990000004</v>
      </c>
      <c r="N15">
        <v>19.436103000000003</v>
      </c>
      <c r="O15">
        <v>1050.066194</v>
      </c>
      <c r="P15">
        <v>0</v>
      </c>
      <c r="Q15">
        <v>1.9786110000000001</v>
      </c>
      <c r="R15">
        <v>5.0001000000000007</v>
      </c>
      <c r="S15">
        <v>0.71430000000000005</v>
      </c>
      <c r="T15">
        <v>133.4289</v>
      </c>
      <c r="U15">
        <v>183.68189100000001</v>
      </c>
      <c r="V15" s="3">
        <f t="shared" si="0"/>
        <v>4331.4934380000004</v>
      </c>
      <c r="W15" s="3">
        <f t="shared" si="1"/>
        <v>4135.484171000001</v>
      </c>
      <c r="X15" s="3">
        <f t="shared" si="2"/>
        <v>196.00926699999945</v>
      </c>
    </row>
    <row r="16" spans="1:24">
      <c r="A16" s="1" t="s">
        <v>14</v>
      </c>
      <c r="B16">
        <v>11919.765273000001</v>
      </c>
      <c r="C16">
        <v>2775.7508979999993</v>
      </c>
      <c r="D16">
        <v>169.74</v>
      </c>
      <c r="E16">
        <v>15358.097559514901</v>
      </c>
      <c r="F16">
        <v>0</v>
      </c>
      <c r="G16">
        <v>0</v>
      </c>
      <c r="H16">
        <v>0</v>
      </c>
      <c r="J16">
        <v>3618.6040480151</v>
      </c>
      <c r="L16">
        <v>11263.126610642001</v>
      </c>
      <c r="N16">
        <v>195.71820000000002</v>
      </c>
      <c r="O16">
        <v>6470.0692970517002</v>
      </c>
      <c r="P16">
        <v>43.572300000000006</v>
      </c>
      <c r="Q16">
        <v>51.358170000000008</v>
      </c>
      <c r="R16">
        <v>72.515729999999991</v>
      </c>
      <c r="S16">
        <v>56.429700000000004</v>
      </c>
      <c r="T16">
        <v>440.96868000000029</v>
      </c>
      <c r="U16">
        <v>1690.6566394312999</v>
      </c>
      <c r="V16" s="3">
        <f t="shared" si="0"/>
        <v>27277.862832514904</v>
      </c>
      <c r="W16" s="3">
        <f t="shared" si="1"/>
        <v>26848.510273140102</v>
      </c>
      <c r="X16" s="3">
        <f t="shared" si="2"/>
        <v>429.35255937480179</v>
      </c>
    </row>
    <row r="17" spans="1:24">
      <c r="A17" s="1" t="s">
        <v>15</v>
      </c>
      <c r="B17">
        <v>14842.431125000001</v>
      </c>
      <c r="C17">
        <v>4671.3986090000008</v>
      </c>
      <c r="D17">
        <v>0</v>
      </c>
      <c r="E17">
        <v>7524.7394340000019</v>
      </c>
      <c r="F17">
        <v>0</v>
      </c>
      <c r="G17">
        <v>0</v>
      </c>
      <c r="H17">
        <v>177.44149800000002</v>
      </c>
      <c r="J17">
        <v>2349.4225620000002</v>
      </c>
      <c r="L17">
        <v>7293.0927630000006</v>
      </c>
      <c r="N17">
        <v>71.430000000000007</v>
      </c>
      <c r="O17">
        <v>5457.6359950000005</v>
      </c>
      <c r="P17">
        <v>0</v>
      </c>
      <c r="Q17">
        <v>14.286000000000001</v>
      </c>
      <c r="R17">
        <v>17.857500000000002</v>
      </c>
      <c r="S17">
        <v>0</v>
      </c>
      <c r="T17">
        <v>734.96930600000007</v>
      </c>
      <c r="U17">
        <v>877.76621299999999</v>
      </c>
      <c r="V17" s="3">
        <f t="shared" si="0"/>
        <v>22367.170559000002</v>
      </c>
      <c r="W17" s="3">
        <f t="shared" si="1"/>
        <v>21665.300446000001</v>
      </c>
      <c r="X17" s="3">
        <f t="shared" si="2"/>
        <v>701.87011300000086</v>
      </c>
    </row>
    <row r="18" spans="1:24">
      <c r="A18" s="1" t="s">
        <v>16</v>
      </c>
      <c r="B18">
        <v>635.84170499999959</v>
      </c>
      <c r="C18">
        <v>0</v>
      </c>
      <c r="D18">
        <v>0</v>
      </c>
      <c r="E18">
        <v>7434.3749350000007</v>
      </c>
      <c r="F18">
        <v>0</v>
      </c>
      <c r="G18">
        <v>0</v>
      </c>
      <c r="H18">
        <v>28.734768000000003</v>
      </c>
      <c r="J18">
        <v>1005.700164</v>
      </c>
      <c r="L18">
        <v>2706.0255160000002</v>
      </c>
      <c r="N18">
        <v>63.344124000000008</v>
      </c>
      <c r="O18">
        <v>3235.0129200000001</v>
      </c>
      <c r="P18">
        <v>65.072730000000007</v>
      </c>
      <c r="Q18">
        <v>98.930550000000011</v>
      </c>
      <c r="R18">
        <v>104.19494100000001</v>
      </c>
      <c r="S18">
        <v>40.64367</v>
      </c>
      <c r="T18">
        <v>388.07204699999994</v>
      </c>
      <c r="U18">
        <v>334.47633000000002</v>
      </c>
      <c r="V18" s="3">
        <f t="shared" si="0"/>
        <v>8070.2166400000006</v>
      </c>
      <c r="W18" s="3">
        <f t="shared" si="1"/>
        <v>8070.2077600000002</v>
      </c>
      <c r="X18" s="3">
        <f t="shared" si="2"/>
        <v>8.8800000003175228E-3</v>
      </c>
    </row>
    <row r="19" spans="1:24">
      <c r="A19" s="1" t="s">
        <v>17</v>
      </c>
      <c r="B19">
        <v>5440.545970000001</v>
      </c>
      <c r="C19">
        <v>1011.009933</v>
      </c>
      <c r="D19">
        <v>0</v>
      </c>
      <c r="E19">
        <v>3187.2336700000001</v>
      </c>
      <c r="F19">
        <v>0</v>
      </c>
      <c r="G19">
        <v>0</v>
      </c>
      <c r="H19">
        <v>19.353165000000001</v>
      </c>
      <c r="J19">
        <v>609.81864399999995</v>
      </c>
      <c r="L19">
        <v>2098.9306580000007</v>
      </c>
      <c r="N19">
        <v>238.76906099999999</v>
      </c>
      <c r="O19">
        <v>3718.0308860000005</v>
      </c>
      <c r="P19">
        <v>15.511139</v>
      </c>
      <c r="Q19">
        <v>7.1358570000000006</v>
      </c>
      <c r="R19">
        <v>230.72235700000002</v>
      </c>
      <c r="S19">
        <v>8.5716000000000001</v>
      </c>
      <c r="T19">
        <v>343.21833000000015</v>
      </c>
      <c r="U19">
        <v>222.84031400000003</v>
      </c>
      <c r="V19" s="3">
        <f t="shared" si="0"/>
        <v>8627.7796400000007</v>
      </c>
      <c r="W19" s="3">
        <f t="shared" si="1"/>
        <v>8523.9119440000013</v>
      </c>
      <c r="X19" s="3">
        <f t="shared" si="2"/>
        <v>103.86769599999934</v>
      </c>
    </row>
    <row r="20" spans="1:24">
      <c r="A20" s="1" t="s">
        <v>18</v>
      </c>
      <c r="B20">
        <v>425.71146799999894</v>
      </c>
      <c r="C20">
        <v>1.1533860995255436E-3</v>
      </c>
      <c r="D20">
        <v>18.178934999999999</v>
      </c>
      <c r="E20">
        <v>8006.9070816459971</v>
      </c>
      <c r="F20">
        <v>1067.0499119999999</v>
      </c>
      <c r="G20">
        <v>-9.3441450000000117</v>
      </c>
      <c r="H20">
        <v>10.443066</v>
      </c>
      <c r="J20">
        <v>117.738</v>
      </c>
      <c r="L20">
        <v>6194.4834960000007</v>
      </c>
      <c r="N20">
        <v>39.550791000000004</v>
      </c>
      <c r="O20">
        <v>2559.565938859897</v>
      </c>
      <c r="P20">
        <v>1.7214630000000002</v>
      </c>
      <c r="Q20">
        <v>1.1928810000000001</v>
      </c>
      <c r="R20">
        <v>19.943256000000002</v>
      </c>
      <c r="S20">
        <v>0</v>
      </c>
      <c r="T20">
        <v>56.015642999999834</v>
      </c>
      <c r="U20">
        <v>471.48925300000002</v>
      </c>
      <c r="V20" s="3">
        <f t="shared" si="0"/>
        <v>9490.3243166459961</v>
      </c>
      <c r="W20" s="3">
        <f t="shared" si="1"/>
        <v>9490.3238762459987</v>
      </c>
      <c r="X20" s="3">
        <f t="shared" si="2"/>
        <v>4.4039999738743063E-4</v>
      </c>
    </row>
    <row r="21" spans="1:24">
      <c r="A21" s="1" t="s">
        <v>19</v>
      </c>
      <c r="B21">
        <v>697.28580499999975</v>
      </c>
      <c r="C21">
        <v>928.85721097999988</v>
      </c>
      <c r="D21">
        <v>0</v>
      </c>
      <c r="E21">
        <v>2936.0612920000003</v>
      </c>
      <c r="F21">
        <v>970.01940000000002</v>
      </c>
      <c r="G21">
        <v>-0.34581300000000037</v>
      </c>
      <c r="H21">
        <v>13.328838000000001</v>
      </c>
      <c r="J21">
        <v>316.55700000000002</v>
      </c>
      <c r="L21">
        <v>1376.9628400200002</v>
      </c>
      <c r="N21">
        <v>23.107605000000003</v>
      </c>
      <c r="O21">
        <v>1662.22351</v>
      </c>
      <c r="P21">
        <v>0</v>
      </c>
      <c r="Q21">
        <v>13.850277000000002</v>
      </c>
      <c r="R21">
        <v>29.450589000000001</v>
      </c>
      <c r="S21">
        <v>16.350327</v>
      </c>
      <c r="T21">
        <v>22.590135000000028</v>
      </c>
      <c r="U21">
        <v>199.74235199999998</v>
      </c>
      <c r="V21" s="3">
        <f t="shared" si="0"/>
        <v>4603.0206840000001</v>
      </c>
      <c r="W21" s="3">
        <f t="shared" si="1"/>
        <v>4603.0206840000001</v>
      </c>
      <c r="X21" s="3">
        <f t="shared" si="2"/>
        <v>0</v>
      </c>
    </row>
    <row r="22" spans="1:24">
      <c r="A22" s="1" t="s">
        <v>20</v>
      </c>
      <c r="B22">
        <v>0</v>
      </c>
      <c r="C22">
        <v>0.84</v>
      </c>
      <c r="D22">
        <v>0</v>
      </c>
      <c r="E22">
        <v>234.502644</v>
      </c>
      <c r="F22">
        <v>62.894114999999999</v>
      </c>
      <c r="G22">
        <v>0</v>
      </c>
      <c r="H22">
        <v>0</v>
      </c>
      <c r="J22">
        <v>0</v>
      </c>
      <c r="L22">
        <v>242.19055800000001</v>
      </c>
      <c r="N22">
        <v>0</v>
      </c>
      <c r="O22">
        <v>51.851037000000005</v>
      </c>
      <c r="P22">
        <v>0</v>
      </c>
      <c r="Q22">
        <v>0</v>
      </c>
      <c r="R22">
        <v>0.52800000000000002</v>
      </c>
      <c r="S22">
        <v>0</v>
      </c>
      <c r="T22">
        <v>0.93000000000000016</v>
      </c>
      <c r="U22">
        <v>1.057164</v>
      </c>
      <c r="V22" s="3">
        <f t="shared" si="0"/>
        <v>297.39675899999997</v>
      </c>
      <c r="W22" s="3">
        <f t="shared" si="1"/>
        <v>297.39675900000003</v>
      </c>
      <c r="X22" s="3">
        <f t="shared" si="2"/>
        <v>0</v>
      </c>
    </row>
    <row r="23" spans="1:24">
      <c r="A23" s="1" t="s">
        <v>21</v>
      </c>
      <c r="B23">
        <v>3175.5370990000001</v>
      </c>
      <c r="C23">
        <v>949.90284000000008</v>
      </c>
      <c r="D23">
        <v>0</v>
      </c>
      <c r="E23">
        <v>786.5222369999999</v>
      </c>
      <c r="F23">
        <v>0</v>
      </c>
      <c r="G23">
        <v>0</v>
      </c>
      <c r="H23">
        <v>0</v>
      </c>
      <c r="J23">
        <v>343.03825799999998</v>
      </c>
      <c r="L23">
        <v>1218.5960339999999</v>
      </c>
      <c r="N23">
        <v>168.86020000000002</v>
      </c>
      <c r="O23">
        <v>942.45118400000013</v>
      </c>
      <c r="P23">
        <v>13.264551000000001</v>
      </c>
      <c r="Q23">
        <v>15.664599000000001</v>
      </c>
      <c r="R23">
        <v>0.85001700000000002</v>
      </c>
      <c r="S23">
        <v>0.7500150000000001</v>
      </c>
      <c r="T23">
        <v>107.14499999999984</v>
      </c>
      <c r="U23">
        <v>94.688726000000017</v>
      </c>
      <c r="V23" s="3">
        <f t="shared" si="0"/>
        <v>3962.0593360000003</v>
      </c>
      <c r="W23" s="3">
        <f t="shared" si="1"/>
        <v>3855.211424000001</v>
      </c>
      <c r="X23" s="3">
        <f t="shared" si="2"/>
        <v>106.84791199999927</v>
      </c>
    </row>
    <row r="24" spans="1:24">
      <c r="A24" s="1" t="s">
        <v>22</v>
      </c>
      <c r="B24">
        <v>6827.0936820000006</v>
      </c>
      <c r="C24">
        <v>556.71224099999995</v>
      </c>
      <c r="D24">
        <v>5.0850000000000009</v>
      </c>
      <c r="E24">
        <v>530.34632100000033</v>
      </c>
      <c r="F24">
        <v>0</v>
      </c>
      <c r="G24">
        <v>0</v>
      </c>
      <c r="H24">
        <v>0</v>
      </c>
      <c r="J24">
        <v>1139.8410000000001</v>
      </c>
      <c r="L24">
        <v>2435.6784270000003</v>
      </c>
      <c r="N24">
        <v>21.729006000000002</v>
      </c>
      <c r="O24">
        <v>1912.6251779999998</v>
      </c>
      <c r="P24">
        <v>11.564517000000002</v>
      </c>
      <c r="Q24">
        <v>9.077751000000001</v>
      </c>
      <c r="R24">
        <v>35.324259000000005</v>
      </c>
      <c r="S24">
        <v>10.113054</v>
      </c>
      <c r="T24">
        <v>488.73803600000025</v>
      </c>
      <c r="U24">
        <v>80.047876000000002</v>
      </c>
      <c r="V24" s="3">
        <f t="shared" si="0"/>
        <v>7357.4400030000006</v>
      </c>
      <c r="W24" s="3">
        <f t="shared" si="1"/>
        <v>6706.5363450000004</v>
      </c>
      <c r="X24" s="3">
        <f t="shared" si="2"/>
        <v>650.90365800000018</v>
      </c>
    </row>
    <row r="25" spans="1:24">
      <c r="A25" s="1" t="s">
        <v>23</v>
      </c>
      <c r="B25">
        <v>8186.7309650000007</v>
      </c>
      <c r="C25">
        <v>1732.0090400000001</v>
      </c>
      <c r="D25">
        <v>4.228656</v>
      </c>
      <c r="E25">
        <v>1576.1458080000007</v>
      </c>
      <c r="F25">
        <v>0</v>
      </c>
      <c r="G25">
        <v>0</v>
      </c>
      <c r="H25">
        <v>0</v>
      </c>
      <c r="J25">
        <v>1004.1894120000002</v>
      </c>
      <c r="L25">
        <v>3250.4231470000004</v>
      </c>
      <c r="N25">
        <v>171.43200000000002</v>
      </c>
      <c r="O25">
        <v>1742.5028090000003</v>
      </c>
      <c r="P25">
        <v>4.7143800000000002</v>
      </c>
      <c r="Q25">
        <v>6.321555</v>
      </c>
      <c r="R25">
        <v>113.34510000000002</v>
      </c>
      <c r="S25">
        <v>156.07740000000001</v>
      </c>
      <c r="T25">
        <v>695.92064700000003</v>
      </c>
      <c r="U25">
        <v>235.61983700000002</v>
      </c>
      <c r="V25" s="3">
        <f t="shared" si="0"/>
        <v>9762.8767730000018</v>
      </c>
      <c r="W25" s="3">
        <f t="shared" si="1"/>
        <v>9116.783983000003</v>
      </c>
      <c r="X25" s="3">
        <f t="shared" si="2"/>
        <v>646.09278999999879</v>
      </c>
    </row>
    <row r="26" spans="1:24">
      <c r="A26" s="1" t="s">
        <v>24</v>
      </c>
      <c r="B26">
        <v>5799.2259430000004</v>
      </c>
      <c r="C26">
        <v>680.63669044411051</v>
      </c>
      <c r="D26">
        <v>0</v>
      </c>
      <c r="E26">
        <v>942.15037715391838</v>
      </c>
      <c r="F26">
        <v>0</v>
      </c>
      <c r="G26">
        <v>0</v>
      </c>
      <c r="H26">
        <v>101.57673912</v>
      </c>
      <c r="J26">
        <v>1276.8000791100001</v>
      </c>
      <c r="L26">
        <v>2331.9650154044803</v>
      </c>
      <c r="N26">
        <v>146.89165206000001</v>
      </c>
      <c r="O26">
        <v>1349.4013324921002</v>
      </c>
      <c r="P26">
        <v>18.547213799999998</v>
      </c>
      <c r="Q26">
        <v>17.826785100000002</v>
      </c>
      <c r="R26">
        <v>12.014526000000002</v>
      </c>
      <c r="S26">
        <v>11.728806000000002</v>
      </c>
      <c r="T26">
        <v>208.3568846</v>
      </c>
      <c r="U26">
        <v>395.03042800000003</v>
      </c>
      <c r="V26" s="3">
        <f t="shared" si="0"/>
        <v>6741.3763201539186</v>
      </c>
      <c r="W26" s="3">
        <f t="shared" si="1"/>
        <v>6550.7761521306902</v>
      </c>
      <c r="X26" s="3">
        <f t="shared" si="2"/>
        <v>190.60016802322843</v>
      </c>
    </row>
    <row r="27" spans="1:24">
      <c r="A27" s="1" t="s">
        <v>25</v>
      </c>
      <c r="B27">
        <v>13968.028966000002</v>
      </c>
      <c r="C27">
        <v>7468.4061780000011</v>
      </c>
      <c r="D27">
        <v>0.150003</v>
      </c>
      <c r="E27">
        <v>72.732000000000056</v>
      </c>
      <c r="F27">
        <v>0</v>
      </c>
      <c r="G27">
        <v>0</v>
      </c>
      <c r="H27">
        <v>11.07</v>
      </c>
      <c r="J27">
        <v>1472.4241259999999</v>
      </c>
      <c r="L27">
        <v>2514.7338910000003</v>
      </c>
      <c r="N27">
        <v>15.443166000000002</v>
      </c>
      <c r="O27">
        <v>1452.5299759999998</v>
      </c>
      <c r="P27">
        <v>8.5716000000000001</v>
      </c>
      <c r="Q27">
        <v>18.458652000000001</v>
      </c>
      <c r="R27">
        <v>141.4314</v>
      </c>
      <c r="S27">
        <v>0</v>
      </c>
      <c r="T27">
        <v>60.30066600000017</v>
      </c>
      <c r="U27">
        <v>726.04858200000012</v>
      </c>
      <c r="V27" s="3">
        <f t="shared" si="0"/>
        <v>14040.760966000002</v>
      </c>
      <c r="W27" s="3">
        <f t="shared" si="1"/>
        <v>13889.568240000002</v>
      </c>
      <c r="X27" s="3">
        <f t="shared" si="2"/>
        <v>151.19272599999931</v>
      </c>
    </row>
    <row r="28" spans="1:24">
      <c r="A28" s="1" t="s">
        <v>26</v>
      </c>
      <c r="B28">
        <v>3178.277532000001</v>
      </c>
      <c r="C28">
        <v>671.44200000000001</v>
      </c>
      <c r="D28">
        <v>0</v>
      </c>
      <c r="E28">
        <v>1061.4875539999998</v>
      </c>
      <c r="F28">
        <v>0</v>
      </c>
      <c r="G28">
        <v>0</v>
      </c>
      <c r="H28">
        <v>5.8238820000000002</v>
      </c>
      <c r="J28">
        <v>464.12210700000003</v>
      </c>
      <c r="L28">
        <v>1684.7122650000003</v>
      </c>
      <c r="N28">
        <v>27.000540000000001</v>
      </c>
      <c r="O28">
        <v>677.79628700000001</v>
      </c>
      <c r="P28">
        <v>17.857500000000002</v>
      </c>
      <c r="Q28">
        <v>38.993637000000007</v>
      </c>
      <c r="R28">
        <v>16.428900000000002</v>
      </c>
      <c r="S28">
        <v>11.07165</v>
      </c>
      <c r="T28">
        <v>285.00510000000008</v>
      </c>
      <c r="U28">
        <v>349.47254700000002</v>
      </c>
      <c r="V28" s="3">
        <f t="shared" si="0"/>
        <v>4239.7650860000012</v>
      </c>
      <c r="W28" s="3">
        <f t="shared" si="1"/>
        <v>4249.726415000001</v>
      </c>
      <c r="X28" s="3">
        <f t="shared" si="2"/>
        <v>-9.9613289999997505</v>
      </c>
    </row>
    <row r="29" spans="1:24">
      <c r="A29" s="1" t="s">
        <v>27</v>
      </c>
      <c r="B29">
        <v>697.19986253000002</v>
      </c>
      <c r="C29">
        <v>146.20406969999985</v>
      </c>
      <c r="D29">
        <v>0</v>
      </c>
      <c r="E29">
        <v>299.82331800000003</v>
      </c>
      <c r="F29">
        <v>0</v>
      </c>
      <c r="G29">
        <v>0</v>
      </c>
      <c r="H29">
        <v>0</v>
      </c>
      <c r="J29">
        <v>97.765058370000006</v>
      </c>
      <c r="L29">
        <v>345.06400943000006</v>
      </c>
      <c r="N29">
        <v>2.9572020000000001</v>
      </c>
      <c r="O29">
        <v>242.89286036000004</v>
      </c>
      <c r="P29">
        <v>1.861605</v>
      </c>
      <c r="Q29">
        <v>8.0430270000000004</v>
      </c>
      <c r="R29">
        <v>1.9354649999999998</v>
      </c>
      <c r="S29">
        <v>6.1215795699999997</v>
      </c>
      <c r="T29">
        <v>58.936933570000008</v>
      </c>
      <c r="U29">
        <v>85.285367100000002</v>
      </c>
      <c r="V29" s="3">
        <f t="shared" si="0"/>
        <v>997.02318052999999</v>
      </c>
      <c r="W29" s="3">
        <f t="shared" si="1"/>
        <v>997.06717710000009</v>
      </c>
      <c r="X29" s="3">
        <f t="shared" si="2"/>
        <v>-4.3996570000103929E-2</v>
      </c>
    </row>
    <row r="30" spans="1:24">
      <c r="A30" s="1" t="s">
        <v>28</v>
      </c>
      <c r="B30">
        <v>3164.010706</v>
      </c>
      <c r="C30">
        <v>967.89156000000014</v>
      </c>
      <c r="D30">
        <v>16.326000000000001</v>
      </c>
      <c r="E30">
        <v>985.17024600000013</v>
      </c>
      <c r="F30">
        <v>0</v>
      </c>
      <c r="G30">
        <v>0</v>
      </c>
      <c r="H30">
        <v>0</v>
      </c>
      <c r="J30">
        <v>306.28707900000001</v>
      </c>
      <c r="L30">
        <v>1651.193344</v>
      </c>
      <c r="N30">
        <v>3.21435</v>
      </c>
      <c r="O30">
        <v>627.87453000000005</v>
      </c>
      <c r="P30">
        <v>4.6429499999999999</v>
      </c>
      <c r="Q30">
        <v>9.5359049999999996</v>
      </c>
      <c r="R30">
        <v>2.8572000000000002</v>
      </c>
      <c r="S30">
        <v>2.8572000000000002</v>
      </c>
      <c r="T30">
        <v>68.872805999999997</v>
      </c>
      <c r="U30">
        <v>382.477778</v>
      </c>
      <c r="V30" s="3">
        <f t="shared" si="0"/>
        <v>4149.1809520000006</v>
      </c>
      <c r="W30" s="3">
        <f t="shared" si="1"/>
        <v>4044.030702</v>
      </c>
      <c r="X30" s="3">
        <f t="shared" si="2"/>
        <v>105.1502500000006</v>
      </c>
    </row>
    <row r="31" spans="1:24">
      <c r="A31" s="1" t="s">
        <v>29</v>
      </c>
      <c r="B31">
        <v>3876.5491270000011</v>
      </c>
      <c r="C31">
        <v>173.46775500000001</v>
      </c>
      <c r="D31">
        <v>2.1429E-2</v>
      </c>
      <c r="E31">
        <v>144.74927999999994</v>
      </c>
      <c r="F31">
        <v>1.8071789999999999</v>
      </c>
      <c r="G31">
        <v>7.3928600000000095</v>
      </c>
      <c r="H31">
        <v>0</v>
      </c>
      <c r="J31">
        <v>490.03137600000002</v>
      </c>
      <c r="L31">
        <v>1768.9223519999998</v>
      </c>
      <c r="N31">
        <v>72.537165000000002</v>
      </c>
      <c r="O31">
        <v>960.94593400000008</v>
      </c>
      <c r="P31">
        <v>12.214530000000002</v>
      </c>
      <c r="Q31">
        <v>39.286500000000004</v>
      </c>
      <c r="R31">
        <v>26.429100000000002</v>
      </c>
      <c r="S31">
        <v>28.572000000000003</v>
      </c>
      <c r="T31">
        <v>152.1459000000001</v>
      </c>
      <c r="U31">
        <v>305.92440500000004</v>
      </c>
      <c r="V31" s="3">
        <f t="shared" si="0"/>
        <v>4030.498446000001</v>
      </c>
      <c r="W31" s="3">
        <f t="shared" si="1"/>
        <v>4030.498446000001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3"/>
  <sheetViews>
    <sheetView topLeftCell="A4" zoomScale="70" zoomScaleNormal="70" workbookViewId="0">
      <selection activeCell="L29" sqref="L29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s="19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1.0457230000000015</v>
      </c>
      <c r="C2">
        <v>61.234795999999996</v>
      </c>
      <c r="D2">
        <v>0</v>
      </c>
      <c r="E2">
        <v>63.593835000000027</v>
      </c>
      <c r="F2">
        <v>0</v>
      </c>
      <c r="G2">
        <v>0</v>
      </c>
      <c r="H2">
        <v>36.202797999999994</v>
      </c>
      <c r="J2">
        <v>-224.324838</v>
      </c>
      <c r="L2">
        <v>17.667153999999996</v>
      </c>
      <c r="N2">
        <v>0.10285799999999999</v>
      </c>
      <c r="O2">
        <v>145.15583000000001</v>
      </c>
      <c r="P2">
        <v>1.114295</v>
      </c>
      <c r="Q2">
        <v>1.0971519999999999</v>
      </c>
      <c r="R2">
        <v>47.331823</v>
      </c>
      <c r="S2">
        <v>3.5143149999999994</v>
      </c>
      <c r="T2">
        <v>47.26325099999999</v>
      </c>
      <c r="U2">
        <v>0.68572</v>
      </c>
      <c r="V2" s="3">
        <f>B2+H2+E2+F2</f>
        <v>100.84235600000002</v>
      </c>
      <c r="W2" s="3">
        <f>C2+D2+G2+SUM(I2:U2)</f>
        <v>100.84235599999997</v>
      </c>
      <c r="X2" s="3">
        <f>V2-W2</f>
        <v>0</v>
      </c>
    </row>
    <row r="3" spans="1:24">
      <c r="A3" s="1" t="s">
        <v>1</v>
      </c>
      <c r="B3">
        <v>10.106686000000003</v>
      </c>
      <c r="C3">
        <v>52.152028000000001</v>
      </c>
      <c r="D3">
        <v>0</v>
      </c>
      <c r="E3">
        <v>2.2628759999999928</v>
      </c>
      <c r="F3">
        <v>0.92572200000000004</v>
      </c>
      <c r="G3">
        <v>0</v>
      </c>
      <c r="H3">
        <v>0</v>
      </c>
      <c r="J3">
        <v>-120.779675</v>
      </c>
      <c r="L3">
        <v>3.1408479999999996</v>
      </c>
      <c r="N3">
        <v>0</v>
      </c>
      <c r="O3">
        <v>55.266793999999997</v>
      </c>
      <c r="P3">
        <v>0.27428799999999998</v>
      </c>
      <c r="Q3">
        <v>0</v>
      </c>
      <c r="R3">
        <v>5.640047</v>
      </c>
      <c r="S3">
        <v>3.0000249999999999</v>
      </c>
      <c r="T3">
        <v>14.189496999999998</v>
      </c>
      <c r="U3">
        <v>0.41143199999999996</v>
      </c>
      <c r="V3" s="3">
        <f t="shared" ref="V3:V31" si="0">B3+H3+E3+F3</f>
        <v>13.295283999999997</v>
      </c>
      <c r="W3" s="3">
        <f t="shared" ref="W3:W31" si="1">C3+D3+G3+SUM(I3:U3)</f>
        <v>13.295284000000002</v>
      </c>
      <c r="X3" s="3">
        <f t="shared" ref="X3:X31" si="2">V3-W3</f>
        <v>0</v>
      </c>
    </row>
    <row r="4" spans="1:24">
      <c r="A4" s="1" t="s">
        <v>2</v>
      </c>
      <c r="B4">
        <v>134.770882</v>
      </c>
      <c r="C4">
        <v>63.630000056000014</v>
      </c>
      <c r="D4">
        <v>0</v>
      </c>
      <c r="E4">
        <v>3.8597789999999996</v>
      </c>
      <c r="F4">
        <v>1.7142999999999999E-2</v>
      </c>
      <c r="G4">
        <v>0</v>
      </c>
      <c r="H4">
        <v>1.9932430000000001</v>
      </c>
      <c r="J4">
        <v>-226.32671200000001</v>
      </c>
      <c r="L4">
        <v>62.265011000000001</v>
      </c>
      <c r="N4">
        <v>0.27428799999999998</v>
      </c>
      <c r="O4">
        <v>166.60972637399999</v>
      </c>
      <c r="P4">
        <v>0.13714399999999999</v>
      </c>
      <c r="Q4">
        <v>7.2686319999999999E-2</v>
      </c>
      <c r="R4">
        <v>1.51611096</v>
      </c>
      <c r="S4">
        <v>3.6541082899999999</v>
      </c>
      <c r="T4">
        <v>68.757254999999986</v>
      </c>
      <c r="U4">
        <v>5.1428999999999996E-2</v>
      </c>
      <c r="V4" s="3">
        <f t="shared" si="0"/>
        <v>140.64104700000001</v>
      </c>
      <c r="W4" s="3">
        <f t="shared" si="1"/>
        <v>140.64104699999996</v>
      </c>
      <c r="X4" s="3">
        <f t="shared" si="2"/>
        <v>0</v>
      </c>
    </row>
    <row r="5" spans="1:24">
      <c r="A5" s="1" t="s">
        <v>3</v>
      </c>
      <c r="B5">
        <v>42.851999999999997</v>
      </c>
      <c r="C5">
        <v>0</v>
      </c>
      <c r="D5">
        <v>0</v>
      </c>
      <c r="E5">
        <v>11.605810999999999</v>
      </c>
      <c r="F5">
        <v>0</v>
      </c>
      <c r="G5">
        <v>0</v>
      </c>
      <c r="H5">
        <v>3.9495260000000001</v>
      </c>
      <c r="J5">
        <v>-105.39390399999999</v>
      </c>
      <c r="L5">
        <v>41.092113999999995</v>
      </c>
      <c r="N5">
        <v>0</v>
      </c>
      <c r="O5">
        <v>104.09123599999999</v>
      </c>
      <c r="P5">
        <v>0.10285799999999999</v>
      </c>
      <c r="Q5">
        <v>0</v>
      </c>
      <c r="R5">
        <v>2.8530249999999997</v>
      </c>
      <c r="S5">
        <v>0.10285799999999999</v>
      </c>
      <c r="T5">
        <v>15.55915000000001</v>
      </c>
      <c r="U5">
        <v>0</v>
      </c>
      <c r="V5" s="3">
        <f t="shared" si="0"/>
        <v>58.407336999999998</v>
      </c>
      <c r="W5" s="3">
        <f t="shared" si="1"/>
        <v>58.407337000000005</v>
      </c>
      <c r="X5" s="3">
        <f t="shared" si="2"/>
        <v>0</v>
      </c>
    </row>
    <row r="6" spans="1:24">
      <c r="A6" s="1" t="s">
        <v>4</v>
      </c>
      <c r="B6">
        <v>61.135017917399992</v>
      </c>
      <c r="C6">
        <v>7.4177761000029929E-3</v>
      </c>
      <c r="D6">
        <v>0</v>
      </c>
      <c r="E6">
        <v>3.9548939084000052</v>
      </c>
      <c r="F6">
        <v>0</v>
      </c>
      <c r="G6">
        <v>0</v>
      </c>
      <c r="H6">
        <v>0</v>
      </c>
      <c r="J6">
        <v>-34.2273987895</v>
      </c>
      <c r="L6">
        <v>21.584810989900003</v>
      </c>
      <c r="N6">
        <v>0</v>
      </c>
      <c r="O6">
        <v>59.261035839299993</v>
      </c>
      <c r="P6">
        <v>0</v>
      </c>
      <c r="Q6">
        <v>0</v>
      </c>
      <c r="R6">
        <v>0</v>
      </c>
      <c r="S6">
        <v>0</v>
      </c>
      <c r="T6">
        <v>18.464046009999997</v>
      </c>
      <c r="U6">
        <v>0</v>
      </c>
      <c r="V6" s="3">
        <f t="shared" si="0"/>
        <v>65.089911825800002</v>
      </c>
      <c r="W6" s="3">
        <f t="shared" si="1"/>
        <v>65.089911825799987</v>
      </c>
      <c r="X6" s="3">
        <f t="shared" si="2"/>
        <v>0</v>
      </c>
    </row>
    <row r="7" spans="1:24">
      <c r="A7" s="2" t="s">
        <v>5</v>
      </c>
      <c r="B7">
        <v>95.320757999999984</v>
      </c>
      <c r="C7">
        <v>178.64720299999999</v>
      </c>
      <c r="D7">
        <v>5.1428999999999996E-2</v>
      </c>
      <c r="E7">
        <v>23.794484000000001</v>
      </c>
      <c r="F7">
        <v>6.8571999999999994E-2</v>
      </c>
      <c r="G7">
        <v>0</v>
      </c>
      <c r="H7">
        <v>111.43805399999999</v>
      </c>
      <c r="J7">
        <v>-670.06417099999999</v>
      </c>
      <c r="L7">
        <v>115.505216</v>
      </c>
      <c r="N7">
        <v>0</v>
      </c>
      <c r="O7">
        <v>430.97448299999996</v>
      </c>
      <c r="P7">
        <v>6.9257719999999994</v>
      </c>
      <c r="Q7">
        <v>0.27428799999999998</v>
      </c>
      <c r="R7">
        <v>44.753175999999996</v>
      </c>
      <c r="S7">
        <v>6.2171029999999998</v>
      </c>
      <c r="T7">
        <v>116.96022299999998</v>
      </c>
      <c r="U7">
        <v>0.37714599999999998</v>
      </c>
      <c r="V7" s="3">
        <f t="shared" si="0"/>
        <v>230.62186799999998</v>
      </c>
      <c r="W7" s="3">
        <f t="shared" si="1"/>
        <v>230.62186799999998</v>
      </c>
      <c r="X7" s="3">
        <f t="shared" si="2"/>
        <v>0</v>
      </c>
    </row>
    <row r="8" spans="1:24">
      <c r="A8" s="1" t="s">
        <v>6</v>
      </c>
      <c r="B8">
        <v>19.114182999999997</v>
      </c>
      <c r="C8">
        <v>0</v>
      </c>
      <c r="D8">
        <v>0</v>
      </c>
      <c r="E8">
        <v>48.014679999999998</v>
      </c>
      <c r="F8">
        <v>0</v>
      </c>
      <c r="G8">
        <v>0</v>
      </c>
      <c r="H8">
        <v>2.2704209999999998</v>
      </c>
      <c r="J8">
        <v>-95.453605999999994</v>
      </c>
      <c r="L8">
        <v>4.0891020000000005</v>
      </c>
      <c r="N8">
        <v>0</v>
      </c>
      <c r="O8">
        <v>83.057383000000002</v>
      </c>
      <c r="P8">
        <v>0</v>
      </c>
      <c r="Q8">
        <v>0</v>
      </c>
      <c r="R8">
        <v>0.909223</v>
      </c>
      <c r="S8">
        <v>0</v>
      </c>
      <c r="T8">
        <v>76.660037999999986</v>
      </c>
      <c r="U8">
        <v>0.13714399999999999</v>
      </c>
      <c r="V8" s="3">
        <f t="shared" si="0"/>
        <v>69.399283999999994</v>
      </c>
      <c r="W8" s="3">
        <f t="shared" si="1"/>
        <v>69.399283999999994</v>
      </c>
      <c r="X8" s="3">
        <f t="shared" si="2"/>
        <v>0</v>
      </c>
    </row>
    <row r="9" spans="1:24">
      <c r="A9" s="1" t="s">
        <v>7</v>
      </c>
      <c r="B9">
        <v>3.4285999999999997E-2</v>
      </c>
      <c r="C9">
        <v>35.006005999999999</v>
      </c>
      <c r="D9">
        <v>0</v>
      </c>
      <c r="E9">
        <v>0</v>
      </c>
      <c r="F9">
        <v>0</v>
      </c>
      <c r="G9">
        <v>0</v>
      </c>
      <c r="H9">
        <v>13.249842000000001</v>
      </c>
      <c r="J9">
        <v>-360.11366099999998</v>
      </c>
      <c r="L9">
        <v>48.655431</v>
      </c>
      <c r="N9">
        <v>0</v>
      </c>
      <c r="O9">
        <v>130.80359899999999</v>
      </c>
      <c r="P9">
        <v>0</v>
      </c>
      <c r="Q9">
        <v>0</v>
      </c>
      <c r="R9">
        <v>0</v>
      </c>
      <c r="S9">
        <v>0</v>
      </c>
      <c r="T9">
        <v>158.89846699999998</v>
      </c>
      <c r="U9">
        <v>3.4285999999999997E-2</v>
      </c>
      <c r="V9" s="3">
        <f t="shared" si="0"/>
        <v>13.284128000000001</v>
      </c>
      <c r="W9" s="3">
        <f t="shared" si="1"/>
        <v>13.284128000000017</v>
      </c>
      <c r="X9" s="3">
        <f t="shared" si="2"/>
        <v>-1.5987211554602254E-14</v>
      </c>
    </row>
    <row r="10" spans="1:24">
      <c r="A10" s="1" t="s">
        <v>8</v>
      </c>
      <c r="B10">
        <v>51.544457999999992</v>
      </c>
      <c r="C10">
        <v>9.2400769999999994</v>
      </c>
      <c r="D10">
        <v>0</v>
      </c>
      <c r="E10">
        <v>41.793524919999989</v>
      </c>
      <c r="F10">
        <v>29.897392</v>
      </c>
      <c r="G10">
        <v>0</v>
      </c>
      <c r="H10">
        <v>5.4239579999999998</v>
      </c>
      <c r="J10">
        <v>-289.84905000000003</v>
      </c>
      <c r="L10">
        <v>36.829143999999999</v>
      </c>
      <c r="N10">
        <v>0</v>
      </c>
      <c r="O10">
        <v>272.29820448971873</v>
      </c>
      <c r="P10">
        <v>0.20928699999999997</v>
      </c>
      <c r="Q10">
        <v>11.490805</v>
      </c>
      <c r="R10">
        <v>13.191345999999999</v>
      </c>
      <c r="S10">
        <v>17.173024999999999</v>
      </c>
      <c r="T10">
        <v>54.047742</v>
      </c>
      <c r="U10">
        <v>4.0286049999999998</v>
      </c>
      <c r="V10" s="3">
        <f t="shared" si="0"/>
        <v>128.65933291999997</v>
      </c>
      <c r="W10" s="3">
        <f t="shared" si="1"/>
        <v>128.65918548971865</v>
      </c>
      <c r="X10" s="3">
        <f t="shared" si="2"/>
        <v>1.4743028131647407E-4</v>
      </c>
    </row>
    <row r="11" spans="1:24">
      <c r="A11" s="1" t="s">
        <v>9</v>
      </c>
      <c r="B11">
        <v>79.606210999999988</v>
      </c>
      <c r="C11">
        <v>32.160268000000002</v>
      </c>
      <c r="D11">
        <v>0</v>
      </c>
      <c r="E11">
        <v>0.48000400000000004</v>
      </c>
      <c r="F11">
        <v>54.857599999999998</v>
      </c>
      <c r="G11">
        <v>0</v>
      </c>
      <c r="H11">
        <v>-2.0282209999999998</v>
      </c>
      <c r="J11">
        <v>-293.85198199999996</v>
      </c>
      <c r="L11">
        <v>43.895897999999995</v>
      </c>
      <c r="N11">
        <v>0</v>
      </c>
      <c r="O11">
        <v>220.915955</v>
      </c>
      <c r="P11">
        <v>0</v>
      </c>
      <c r="Q11">
        <v>0.30857399999999996</v>
      </c>
      <c r="R11">
        <v>11.294528</v>
      </c>
      <c r="S11">
        <v>0</v>
      </c>
      <c r="T11">
        <v>117.64377699999996</v>
      </c>
      <c r="U11">
        <v>0.54857599999999995</v>
      </c>
      <c r="V11" s="3">
        <f t="shared" si="0"/>
        <v>132.91559399999997</v>
      </c>
      <c r="W11" s="3">
        <f t="shared" si="1"/>
        <v>132.91559399999997</v>
      </c>
      <c r="X11" s="3">
        <f t="shared" si="2"/>
        <v>0</v>
      </c>
    </row>
    <row r="12" spans="1:24">
      <c r="A12" s="1" t="s">
        <v>10</v>
      </c>
      <c r="B12">
        <v>6.1984804499999973</v>
      </c>
      <c r="C12">
        <v>0</v>
      </c>
      <c r="D12">
        <v>-0.65366258999999993</v>
      </c>
      <c r="E12">
        <v>138.34883093000005</v>
      </c>
      <c r="F12">
        <v>88.39976523</v>
      </c>
      <c r="G12">
        <v>0</v>
      </c>
      <c r="H12">
        <v>0</v>
      </c>
      <c r="J12">
        <v>-280.3252013</v>
      </c>
      <c r="L12">
        <v>1.72350947</v>
      </c>
      <c r="N12">
        <v>0</v>
      </c>
      <c r="O12">
        <v>149.67049566999998</v>
      </c>
      <c r="P12">
        <v>0</v>
      </c>
      <c r="Q12">
        <v>0</v>
      </c>
      <c r="R12">
        <v>42.857500000000002</v>
      </c>
      <c r="S12">
        <v>17.143000000000001</v>
      </c>
      <c r="T12">
        <v>300.0025</v>
      </c>
      <c r="U12">
        <v>2.5289353600000002</v>
      </c>
      <c r="V12" s="3">
        <f t="shared" si="0"/>
        <v>232.94707661000007</v>
      </c>
      <c r="W12" s="3">
        <f t="shared" si="1"/>
        <v>232.94707660999995</v>
      </c>
      <c r="X12" s="3">
        <f t="shared" si="2"/>
        <v>0</v>
      </c>
    </row>
    <row r="13" spans="1:24">
      <c r="A13" s="1" t="s">
        <v>11</v>
      </c>
      <c r="B13">
        <v>15.272465999999998</v>
      </c>
      <c r="C13">
        <v>6.1413778200001393E-2</v>
      </c>
      <c r="D13">
        <v>0</v>
      </c>
      <c r="E13">
        <v>8.6324630041839807</v>
      </c>
      <c r="F13">
        <v>0</v>
      </c>
      <c r="G13">
        <v>0</v>
      </c>
      <c r="H13">
        <v>1.4223129999999999</v>
      </c>
      <c r="J13">
        <v>-94.912078999999991</v>
      </c>
      <c r="L13">
        <v>25.029834999999999</v>
      </c>
      <c r="N13">
        <v>0</v>
      </c>
      <c r="O13">
        <v>32.235082225983987</v>
      </c>
      <c r="P13">
        <v>0</v>
      </c>
      <c r="Q13">
        <v>0</v>
      </c>
      <c r="R13">
        <v>0</v>
      </c>
      <c r="S13">
        <v>0</v>
      </c>
      <c r="T13">
        <v>62.810131999999989</v>
      </c>
      <c r="U13">
        <v>0.10285799999999999</v>
      </c>
      <c r="V13" s="3">
        <f t="shared" si="0"/>
        <v>25.327242004183979</v>
      </c>
      <c r="W13" s="3">
        <f t="shared" si="1"/>
        <v>25.327242004183994</v>
      </c>
      <c r="X13" s="3">
        <f t="shared" si="2"/>
        <v>0</v>
      </c>
    </row>
    <row r="14" spans="1:24">
      <c r="A14" s="1" t="s">
        <v>12</v>
      </c>
      <c r="B14">
        <v>22.06451899999999</v>
      </c>
      <c r="C14">
        <v>0</v>
      </c>
      <c r="D14">
        <v>0</v>
      </c>
      <c r="E14">
        <v>142.01261199999999</v>
      </c>
      <c r="F14">
        <v>0</v>
      </c>
      <c r="G14">
        <v>0</v>
      </c>
      <c r="H14">
        <v>3.7058999999999988E-2</v>
      </c>
      <c r="J14">
        <v>-58.416742999999997</v>
      </c>
      <c r="L14">
        <v>13.665972999999999</v>
      </c>
      <c r="N14">
        <v>3.4285999999999997E-2</v>
      </c>
      <c r="O14">
        <v>55.109392999999997</v>
      </c>
      <c r="P14">
        <v>0</v>
      </c>
      <c r="Q14">
        <v>1.7142999999999999E-2</v>
      </c>
      <c r="R14">
        <v>6.2743380000000002</v>
      </c>
      <c r="S14">
        <v>0</v>
      </c>
      <c r="T14">
        <v>147.17265499999999</v>
      </c>
      <c r="U14">
        <v>0.25714499999999996</v>
      </c>
      <c r="V14" s="3">
        <f t="shared" si="0"/>
        <v>164.11418999999998</v>
      </c>
      <c r="W14" s="3">
        <f t="shared" si="1"/>
        <v>164.11419000000001</v>
      </c>
      <c r="X14" s="3">
        <f t="shared" si="2"/>
        <v>0</v>
      </c>
    </row>
    <row r="15" spans="1:24">
      <c r="A15" s="1" t="s">
        <v>13</v>
      </c>
      <c r="B15">
        <v>67.924001999999987</v>
      </c>
      <c r="C15">
        <v>29.091670999999998</v>
      </c>
      <c r="D15">
        <v>0</v>
      </c>
      <c r="E15">
        <v>59.458255000000001</v>
      </c>
      <c r="F15">
        <v>0</v>
      </c>
      <c r="G15">
        <v>0</v>
      </c>
      <c r="H15">
        <v>1.5784629999999997</v>
      </c>
      <c r="J15">
        <v>-73.314515999999998</v>
      </c>
      <c r="L15">
        <v>20.568140999999997</v>
      </c>
      <c r="N15">
        <v>0</v>
      </c>
      <c r="O15">
        <v>87.546916999999993</v>
      </c>
      <c r="P15">
        <v>0</v>
      </c>
      <c r="Q15">
        <v>3.4285999999999997E-2</v>
      </c>
      <c r="R15">
        <v>12.766414999999999</v>
      </c>
      <c r="S15">
        <v>0</v>
      </c>
      <c r="T15">
        <v>52.027804000000003</v>
      </c>
      <c r="U15">
        <v>0.24000200000000002</v>
      </c>
      <c r="V15" s="3">
        <f t="shared" si="0"/>
        <v>128.96071999999998</v>
      </c>
      <c r="W15" s="3">
        <f t="shared" si="1"/>
        <v>128.96072000000001</v>
      </c>
      <c r="X15" s="3">
        <f t="shared" si="2"/>
        <v>0</v>
      </c>
    </row>
    <row r="16" spans="1:24">
      <c r="A16" s="1" t="s">
        <v>14</v>
      </c>
      <c r="B16">
        <v>17.865683000000001</v>
      </c>
      <c r="C16">
        <v>3.5710000000002406E-3</v>
      </c>
      <c r="D16">
        <v>0</v>
      </c>
      <c r="E16">
        <v>75.594445489000037</v>
      </c>
      <c r="F16">
        <v>0</v>
      </c>
      <c r="G16">
        <v>0</v>
      </c>
      <c r="H16">
        <v>0</v>
      </c>
      <c r="J16">
        <v>-394.4255337985</v>
      </c>
      <c r="L16">
        <v>27.677277276400002</v>
      </c>
      <c r="N16">
        <v>0</v>
      </c>
      <c r="O16">
        <v>151.01657148429999</v>
      </c>
      <c r="P16">
        <v>0</v>
      </c>
      <c r="Q16">
        <v>10.12725</v>
      </c>
      <c r="R16">
        <v>23.431729999999998</v>
      </c>
      <c r="S16">
        <v>9.0058499999999988</v>
      </c>
      <c r="T16">
        <v>261.28015200000004</v>
      </c>
      <c r="U16">
        <v>5.3432605268</v>
      </c>
      <c r="V16" s="3">
        <f t="shared" si="0"/>
        <v>93.460128489000041</v>
      </c>
      <c r="W16" s="3">
        <f t="shared" si="1"/>
        <v>93.460128489000013</v>
      </c>
      <c r="X16" s="3">
        <f t="shared" si="2"/>
        <v>0</v>
      </c>
    </row>
    <row r="17" spans="1:24">
      <c r="A17" s="1" t="s">
        <v>15</v>
      </c>
      <c r="B17">
        <v>39.812432999999999</v>
      </c>
      <c r="C17">
        <v>22.224391000000001</v>
      </c>
      <c r="D17">
        <v>0</v>
      </c>
      <c r="E17">
        <v>19.958562999999984</v>
      </c>
      <c r="F17">
        <v>0</v>
      </c>
      <c r="G17">
        <v>0</v>
      </c>
      <c r="H17">
        <v>17.369343999999998</v>
      </c>
      <c r="J17">
        <v>-121.49485099999998</v>
      </c>
      <c r="L17">
        <v>26.486791999999998</v>
      </c>
      <c r="N17">
        <v>0</v>
      </c>
      <c r="O17">
        <v>94.465192999999999</v>
      </c>
      <c r="P17">
        <v>0</v>
      </c>
      <c r="Q17">
        <v>0</v>
      </c>
      <c r="R17">
        <v>10.628648999999999</v>
      </c>
      <c r="S17">
        <v>0</v>
      </c>
      <c r="T17">
        <v>44.075873999999992</v>
      </c>
      <c r="U17">
        <v>0.75429199999999996</v>
      </c>
      <c r="V17" s="3">
        <f t="shared" si="0"/>
        <v>77.140339999999981</v>
      </c>
      <c r="W17" s="3">
        <f t="shared" si="1"/>
        <v>77.140340000000009</v>
      </c>
      <c r="X17" s="3">
        <f t="shared" si="2"/>
        <v>0</v>
      </c>
    </row>
    <row r="18" spans="1:24">
      <c r="A18" s="1" t="s">
        <v>16</v>
      </c>
      <c r="B18">
        <v>4.2887820000000012</v>
      </c>
      <c r="C18">
        <v>0</v>
      </c>
      <c r="D18">
        <v>0</v>
      </c>
      <c r="E18">
        <v>11.177235999999999</v>
      </c>
      <c r="F18">
        <v>0</v>
      </c>
      <c r="G18">
        <v>0</v>
      </c>
      <c r="H18">
        <v>0</v>
      </c>
      <c r="J18">
        <v>-175.85531</v>
      </c>
      <c r="L18">
        <v>30.436895999999997</v>
      </c>
      <c r="N18">
        <v>0</v>
      </c>
      <c r="O18">
        <v>59.637873999999996</v>
      </c>
      <c r="P18">
        <v>0</v>
      </c>
      <c r="Q18">
        <v>0</v>
      </c>
      <c r="R18">
        <v>13.37154</v>
      </c>
      <c r="S18">
        <v>0</v>
      </c>
      <c r="T18">
        <v>87.806446000000008</v>
      </c>
      <c r="U18">
        <v>6.8571999999999994E-2</v>
      </c>
      <c r="V18" s="3">
        <f t="shared" si="0"/>
        <v>15.466018</v>
      </c>
      <c r="W18" s="3">
        <f t="shared" si="1"/>
        <v>15.466017999999988</v>
      </c>
      <c r="X18" s="3">
        <f t="shared" si="2"/>
        <v>0</v>
      </c>
    </row>
    <row r="19" spans="1:24">
      <c r="A19" s="1" t="s">
        <v>17</v>
      </c>
      <c r="B19">
        <v>0.48000399999999777</v>
      </c>
      <c r="C19">
        <v>16.610137999999996</v>
      </c>
      <c r="D19">
        <v>0</v>
      </c>
      <c r="E19">
        <v>46.80039</v>
      </c>
      <c r="F19">
        <v>0</v>
      </c>
      <c r="G19">
        <v>0</v>
      </c>
      <c r="H19">
        <v>29.521456999999998</v>
      </c>
      <c r="J19">
        <v>-156.44579799999997</v>
      </c>
      <c r="L19">
        <v>15.191914000000001</v>
      </c>
      <c r="N19">
        <v>0</v>
      </c>
      <c r="O19">
        <v>111.68558400000001</v>
      </c>
      <c r="P19">
        <v>1.5085839999999999</v>
      </c>
      <c r="Q19">
        <v>3.4285999999999997E-2</v>
      </c>
      <c r="R19">
        <v>36.023017999999993</v>
      </c>
      <c r="S19">
        <v>0</v>
      </c>
      <c r="T19">
        <v>52.245553999999984</v>
      </c>
      <c r="U19">
        <v>-5.1428999999999996E-2</v>
      </c>
      <c r="V19" s="3">
        <f t="shared" si="0"/>
        <v>76.801850999999999</v>
      </c>
      <c r="W19" s="3">
        <f t="shared" si="1"/>
        <v>76.801851000000013</v>
      </c>
      <c r="X19" s="3">
        <f t="shared" si="2"/>
        <v>0</v>
      </c>
    </row>
    <row r="20" spans="1:24">
      <c r="A20" s="1" t="s">
        <v>18</v>
      </c>
      <c r="B20">
        <v>44.853957000000079</v>
      </c>
      <c r="C20">
        <v>4.2857500000000002</v>
      </c>
      <c r="D20">
        <v>0</v>
      </c>
      <c r="E20">
        <v>342.34318100560347</v>
      </c>
      <c r="F20">
        <v>499.084159</v>
      </c>
      <c r="G20">
        <v>0</v>
      </c>
      <c r="H20">
        <v>5.2136599999999991</v>
      </c>
      <c r="J20">
        <v>-336.46215599999999</v>
      </c>
      <c r="L20">
        <v>12.663926</v>
      </c>
      <c r="N20">
        <v>0</v>
      </c>
      <c r="O20">
        <v>395.16020988590526</v>
      </c>
      <c r="P20">
        <v>1.0971519999999999</v>
      </c>
      <c r="Q20">
        <v>62.41766299999999</v>
      </c>
      <c r="R20">
        <v>38.710152999999998</v>
      </c>
      <c r="S20">
        <v>2.6743079999999999</v>
      </c>
      <c r="T20">
        <v>701.22833400000002</v>
      </c>
      <c r="U20">
        <v>9.7200809999999986</v>
      </c>
      <c r="V20" s="3">
        <f t="shared" si="0"/>
        <v>891.49495700560351</v>
      </c>
      <c r="W20" s="3">
        <f t="shared" si="1"/>
        <v>891.49542088590533</v>
      </c>
      <c r="X20" s="3">
        <f t="shared" si="2"/>
        <v>-4.6388030182242801E-4</v>
      </c>
    </row>
    <row r="21" spans="1:24">
      <c r="A21" s="1" t="s">
        <v>19</v>
      </c>
      <c r="B21">
        <v>47.30219499999999</v>
      </c>
      <c r="C21">
        <v>0</v>
      </c>
      <c r="D21">
        <v>0</v>
      </c>
      <c r="E21">
        <v>147.77266</v>
      </c>
      <c r="F21">
        <v>0</v>
      </c>
      <c r="G21">
        <v>0</v>
      </c>
      <c r="H21">
        <v>2.4747029999999999</v>
      </c>
      <c r="J21">
        <v>-25.387878000000001</v>
      </c>
      <c r="L21">
        <v>12.829984999999999</v>
      </c>
      <c r="N21">
        <v>8.3829269999999987</v>
      </c>
      <c r="O21">
        <v>43.476143999999998</v>
      </c>
      <c r="P21">
        <v>0</v>
      </c>
      <c r="Q21">
        <v>0</v>
      </c>
      <c r="R21">
        <v>23.245908</v>
      </c>
      <c r="S21">
        <v>1.5257270000000001</v>
      </c>
      <c r="T21">
        <v>120.70520999999998</v>
      </c>
      <c r="U21">
        <v>12.771535</v>
      </c>
      <c r="V21" s="3">
        <f t="shared" si="0"/>
        <v>197.54955799999999</v>
      </c>
      <c r="W21" s="3">
        <f t="shared" si="1"/>
        <v>197.54955799999996</v>
      </c>
      <c r="X21" s="3">
        <f t="shared" si="2"/>
        <v>0</v>
      </c>
    </row>
    <row r="22" spans="1:24">
      <c r="A22" s="1" t="s">
        <v>20</v>
      </c>
      <c r="B22">
        <v>0</v>
      </c>
      <c r="C22">
        <v>76.937784000000008</v>
      </c>
      <c r="D22">
        <v>0.58286199999999999</v>
      </c>
      <c r="E22">
        <v>6.0914609999999971</v>
      </c>
      <c r="F22">
        <v>0</v>
      </c>
      <c r="G22">
        <v>0</v>
      </c>
      <c r="H22">
        <v>0</v>
      </c>
      <c r="J22">
        <v>-125.587249</v>
      </c>
      <c r="L22">
        <v>3.0642299999999998</v>
      </c>
      <c r="N22">
        <v>0</v>
      </c>
      <c r="O22">
        <v>33.230827999999995</v>
      </c>
      <c r="P22">
        <v>0</v>
      </c>
      <c r="Q22">
        <v>0</v>
      </c>
      <c r="R22">
        <v>6.0000499999999999</v>
      </c>
      <c r="S22">
        <v>0</v>
      </c>
      <c r="T22">
        <v>11.142949999999999</v>
      </c>
      <c r="U22">
        <v>0.72000599999999992</v>
      </c>
      <c r="V22" s="3">
        <f t="shared" si="0"/>
        <v>6.0914609999999971</v>
      </c>
      <c r="W22" s="3">
        <f t="shared" si="1"/>
        <v>6.0914610000000096</v>
      </c>
      <c r="X22" s="3">
        <f t="shared" si="2"/>
        <v>-1.2434497875801753E-14</v>
      </c>
    </row>
    <row r="23" spans="1:24">
      <c r="A23" s="1" t="s">
        <v>21</v>
      </c>
      <c r="B23">
        <v>3.3495979999999999</v>
      </c>
      <c r="C23">
        <v>0</v>
      </c>
      <c r="D23">
        <v>0</v>
      </c>
      <c r="E23">
        <v>17.400144999999998</v>
      </c>
      <c r="F23">
        <v>0</v>
      </c>
      <c r="G23">
        <v>0</v>
      </c>
      <c r="H23">
        <v>0</v>
      </c>
      <c r="J23">
        <v>-0.90713699999999997</v>
      </c>
      <c r="L23">
        <v>0.53953899999999999</v>
      </c>
      <c r="N23">
        <v>1.8857300000000001</v>
      </c>
      <c r="O23">
        <v>3.9914839999999998</v>
      </c>
      <c r="P23">
        <v>0.90857900000000003</v>
      </c>
      <c r="Q23">
        <v>1.37144</v>
      </c>
      <c r="R23">
        <v>5.6571899999999991</v>
      </c>
      <c r="S23">
        <v>0</v>
      </c>
      <c r="T23">
        <v>7.3029180000000027</v>
      </c>
      <c r="U23">
        <v>0</v>
      </c>
      <c r="V23" s="3">
        <f t="shared" si="0"/>
        <v>20.749742999999999</v>
      </c>
      <c r="W23" s="3">
        <f t="shared" si="1"/>
        <v>20.749742999999999</v>
      </c>
      <c r="X23" s="3">
        <f t="shared" si="2"/>
        <v>0</v>
      </c>
    </row>
    <row r="24" spans="1:24">
      <c r="A24" s="1" t="s">
        <v>22</v>
      </c>
      <c r="B24">
        <v>0</v>
      </c>
      <c r="C24">
        <v>1.5713999999999999E-2</v>
      </c>
      <c r="D24">
        <v>0</v>
      </c>
      <c r="E24">
        <v>9.3232580000000009</v>
      </c>
      <c r="F24">
        <v>0</v>
      </c>
      <c r="G24">
        <v>0</v>
      </c>
      <c r="H24">
        <v>0</v>
      </c>
      <c r="J24">
        <v>-13.097251999999999</v>
      </c>
      <c r="L24">
        <v>9.3075440000000018</v>
      </c>
      <c r="N24">
        <v>0</v>
      </c>
      <c r="O24">
        <v>13.097251999999999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9.3232580000000009</v>
      </c>
      <c r="W24" s="3">
        <f t="shared" si="1"/>
        <v>9.3232580000000009</v>
      </c>
      <c r="X24" s="3">
        <f t="shared" si="2"/>
        <v>0</v>
      </c>
    </row>
    <row r="25" spans="1:24">
      <c r="A25" s="1" t="s">
        <v>23</v>
      </c>
      <c r="B25">
        <v>4.3459570000000003</v>
      </c>
      <c r="C25">
        <v>0</v>
      </c>
      <c r="D25">
        <v>0</v>
      </c>
      <c r="E25">
        <v>21.154461999999999</v>
      </c>
      <c r="F25">
        <v>0</v>
      </c>
      <c r="G25">
        <v>0</v>
      </c>
      <c r="H25">
        <v>0</v>
      </c>
      <c r="J25">
        <v>-2.087008</v>
      </c>
      <c r="L25">
        <v>1.891351</v>
      </c>
      <c r="N25">
        <v>0</v>
      </c>
      <c r="O25">
        <v>3.51925</v>
      </c>
      <c r="P25">
        <v>0</v>
      </c>
      <c r="Q25">
        <v>0.25494699999999998</v>
      </c>
      <c r="R25">
        <v>8.406509999999999</v>
      </c>
      <c r="S25">
        <v>0.12000100000000001</v>
      </c>
      <c r="T25">
        <v>13.395367999999999</v>
      </c>
      <c r="U25">
        <v>0</v>
      </c>
      <c r="V25" s="3">
        <f t="shared" si="0"/>
        <v>25.500419000000001</v>
      </c>
      <c r="W25" s="3">
        <f t="shared" si="1"/>
        <v>25.500419000000001</v>
      </c>
      <c r="X25" s="3">
        <f t="shared" si="2"/>
        <v>0</v>
      </c>
    </row>
    <row r="26" spans="1:24">
      <c r="A26" s="1" t="s">
        <v>24</v>
      </c>
      <c r="B26">
        <v>1.0644373999999992</v>
      </c>
      <c r="C26">
        <v>3.1427999999999998E-3</v>
      </c>
      <c r="D26">
        <v>0</v>
      </c>
      <c r="E26">
        <v>24.718026429099996</v>
      </c>
      <c r="F26">
        <v>0</v>
      </c>
      <c r="G26">
        <v>0</v>
      </c>
      <c r="H26">
        <v>40.679111484999993</v>
      </c>
      <c r="J26">
        <v>0</v>
      </c>
      <c r="L26">
        <v>8.7913765373999997</v>
      </c>
      <c r="N26">
        <v>0</v>
      </c>
      <c r="O26">
        <v>30.854614975699995</v>
      </c>
      <c r="P26">
        <v>0</v>
      </c>
      <c r="Q26">
        <v>0</v>
      </c>
      <c r="R26">
        <v>6.7200559999999996</v>
      </c>
      <c r="S26">
        <v>0.394289</v>
      </c>
      <c r="T26">
        <v>18.532555799999997</v>
      </c>
      <c r="U26">
        <v>1.165724</v>
      </c>
      <c r="V26" s="3">
        <f t="shared" si="0"/>
        <v>66.461575314099989</v>
      </c>
      <c r="W26" s="3">
        <f t="shared" si="1"/>
        <v>66.461759113100001</v>
      </c>
      <c r="X26" s="3">
        <f t="shared" si="2"/>
        <v>-1.8379900001264105E-4</v>
      </c>
    </row>
    <row r="27" spans="1:24">
      <c r="A27" s="1" t="s">
        <v>25</v>
      </c>
      <c r="B27">
        <v>0</v>
      </c>
      <c r="C27">
        <v>0.29143099999999073</v>
      </c>
      <c r="D27">
        <v>0</v>
      </c>
      <c r="E27">
        <v>13.054006699999999</v>
      </c>
      <c r="F27">
        <v>0</v>
      </c>
      <c r="G27">
        <v>0</v>
      </c>
      <c r="H27">
        <v>-0.5886579999999999</v>
      </c>
      <c r="J27">
        <v>-151.88118900000001</v>
      </c>
      <c r="L27">
        <v>6.0141</v>
      </c>
      <c r="N27">
        <v>6.0707000000000001E-3</v>
      </c>
      <c r="O27">
        <v>8.7124399999999991</v>
      </c>
      <c r="P27">
        <v>0</v>
      </c>
      <c r="Q27">
        <v>0</v>
      </c>
      <c r="R27">
        <v>0.52857399999999988</v>
      </c>
      <c r="S27">
        <v>0</v>
      </c>
      <c r="T27">
        <v>81.936222000000001</v>
      </c>
      <c r="U27">
        <v>66.857699999999994</v>
      </c>
      <c r="V27" s="3">
        <f t="shared" si="0"/>
        <v>12.465348699999998</v>
      </c>
      <c r="W27" s="3">
        <f t="shared" si="1"/>
        <v>12.46534869999998</v>
      </c>
      <c r="X27" s="3">
        <f t="shared" si="2"/>
        <v>1.7763568394002505E-14</v>
      </c>
    </row>
    <row r="28" spans="1:24">
      <c r="A28" s="1" t="s">
        <v>26</v>
      </c>
      <c r="B28">
        <v>1.2198580000000014</v>
      </c>
      <c r="C28">
        <v>43.406075999999999</v>
      </c>
      <c r="D28">
        <v>0</v>
      </c>
      <c r="E28">
        <v>0</v>
      </c>
      <c r="F28">
        <v>0</v>
      </c>
      <c r="G28">
        <v>0</v>
      </c>
      <c r="H28">
        <v>0.47851399999999999</v>
      </c>
      <c r="J28">
        <v>-162.55671899999999</v>
      </c>
      <c r="L28">
        <v>29.240476000000001</v>
      </c>
      <c r="N28">
        <v>0</v>
      </c>
      <c r="O28">
        <v>81.223223999999988</v>
      </c>
      <c r="P28">
        <v>0</v>
      </c>
      <c r="Q28">
        <v>1.285725</v>
      </c>
      <c r="R28">
        <v>3.4285999999999997E-2</v>
      </c>
      <c r="S28">
        <v>0</v>
      </c>
      <c r="T28">
        <v>8.8081589999999998</v>
      </c>
      <c r="U28">
        <v>0.25714499999999996</v>
      </c>
      <c r="V28" s="3">
        <f t="shared" si="0"/>
        <v>1.6983720000000013</v>
      </c>
      <c r="W28" s="3">
        <f t="shared" si="1"/>
        <v>1.6983719999999991</v>
      </c>
      <c r="X28" s="3">
        <f t="shared" si="2"/>
        <v>2.2204460492503131E-15</v>
      </c>
    </row>
    <row r="29" spans="1:24">
      <c r="A29" s="1" t="s">
        <v>27</v>
      </c>
      <c r="B29">
        <v>0</v>
      </c>
      <c r="C29">
        <v>6.6000550000000002</v>
      </c>
      <c r="D29">
        <v>0</v>
      </c>
      <c r="E29">
        <v>0</v>
      </c>
      <c r="F29">
        <v>0</v>
      </c>
      <c r="G29">
        <v>0</v>
      </c>
      <c r="H29">
        <v>0</v>
      </c>
      <c r="J29">
        <v>-21.238878870000001</v>
      </c>
      <c r="L29">
        <v>0</v>
      </c>
      <c r="N29">
        <v>0</v>
      </c>
      <c r="O29">
        <v>5.4657795710000006</v>
      </c>
      <c r="P29">
        <v>0</v>
      </c>
      <c r="Q29">
        <v>0</v>
      </c>
      <c r="R29">
        <v>0</v>
      </c>
      <c r="S29">
        <v>0</v>
      </c>
      <c r="T29">
        <v>9.1715230929999993</v>
      </c>
      <c r="U29">
        <v>0</v>
      </c>
      <c r="V29" s="3">
        <f t="shared" si="0"/>
        <v>0</v>
      </c>
      <c r="W29" s="3">
        <f t="shared" si="1"/>
        <v>-1.5212060000004968E-3</v>
      </c>
      <c r="X29" s="3">
        <f t="shared" si="2"/>
        <v>1.5212060000004968E-3</v>
      </c>
    </row>
    <row r="30" spans="1:24">
      <c r="A30" s="1" t="s">
        <v>28</v>
      </c>
      <c r="B30">
        <v>3.2138999999999994E-2</v>
      </c>
      <c r="C30">
        <v>9.4125782999999998</v>
      </c>
      <c r="D30">
        <v>0</v>
      </c>
      <c r="E30">
        <v>0</v>
      </c>
      <c r="F30">
        <v>0</v>
      </c>
      <c r="G30">
        <v>0</v>
      </c>
      <c r="H30">
        <v>0</v>
      </c>
      <c r="J30">
        <v>-23.725349000000001</v>
      </c>
      <c r="L30">
        <v>0</v>
      </c>
      <c r="N30">
        <v>0</v>
      </c>
      <c r="O30">
        <v>9.5105836999999998</v>
      </c>
      <c r="P30">
        <v>0</v>
      </c>
      <c r="Q30">
        <v>0</v>
      </c>
      <c r="R30">
        <v>0</v>
      </c>
      <c r="S30">
        <v>0</v>
      </c>
      <c r="T30">
        <v>4.8343259999999999</v>
      </c>
      <c r="U30">
        <v>0</v>
      </c>
      <c r="V30" s="3">
        <f t="shared" si="0"/>
        <v>3.2138999999999994E-2</v>
      </c>
      <c r="W30" s="3">
        <f t="shared" si="1"/>
        <v>3.2138999999997253E-2</v>
      </c>
      <c r="X30" s="3">
        <f t="shared" si="2"/>
        <v>2.7408630920433552E-15</v>
      </c>
    </row>
    <row r="31" spans="1:24">
      <c r="A31" s="1" t="s">
        <v>29</v>
      </c>
      <c r="B31">
        <v>18.969151999999998</v>
      </c>
      <c r="C31">
        <v>52.080581999999993</v>
      </c>
      <c r="D31">
        <v>0</v>
      </c>
      <c r="E31">
        <v>0</v>
      </c>
      <c r="F31">
        <v>0</v>
      </c>
      <c r="G31">
        <v>0</v>
      </c>
      <c r="H31">
        <v>0</v>
      </c>
      <c r="J31">
        <v>-213.75902099999999</v>
      </c>
      <c r="L31">
        <v>32.171439999999997</v>
      </c>
      <c r="N31">
        <v>0</v>
      </c>
      <c r="O31">
        <v>109.12381699999999</v>
      </c>
      <c r="P31">
        <v>0</v>
      </c>
      <c r="Q31">
        <v>4.2857500000000002</v>
      </c>
      <c r="R31">
        <v>6.5143399999999998</v>
      </c>
      <c r="S31">
        <v>3.5486009999999997</v>
      </c>
      <c r="T31">
        <v>25.003643000000004</v>
      </c>
      <c r="U31">
        <v>0</v>
      </c>
      <c r="V31" s="3">
        <f t="shared" si="0"/>
        <v>18.969151999999998</v>
      </c>
      <c r="W31" s="3">
        <f t="shared" si="1"/>
        <v>18.969151999999973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3"/>
  <sheetViews>
    <sheetView topLeftCell="B1" zoomScale="70" zoomScaleNormal="70" workbookViewId="0">
      <selection activeCell="Q21" sqref="Q21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67.258487999999929</v>
      </c>
      <c r="C2">
        <v>1.4285999999915318E-2</v>
      </c>
      <c r="D2">
        <v>0</v>
      </c>
      <c r="E2">
        <v>862.54582200000004</v>
      </c>
      <c r="F2">
        <v>502.82434200000006</v>
      </c>
      <c r="G2">
        <v>0</v>
      </c>
      <c r="H2">
        <v>0</v>
      </c>
      <c r="J2">
        <v>1354.641378</v>
      </c>
      <c r="L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3.8286480000000003</v>
      </c>
      <c r="U2">
        <v>74.14434</v>
      </c>
      <c r="V2" s="3">
        <f>B2+E2+F2+I2</f>
        <v>1432.6286520000001</v>
      </c>
      <c r="W2" s="3">
        <f>C2+D2+SUM(G2:U2)-I2</f>
        <v>1432.6286519999999</v>
      </c>
      <c r="X2" s="3">
        <f>V2-W2</f>
        <v>0</v>
      </c>
    </row>
    <row r="3" spans="1:24">
      <c r="A3" s="1" t="s">
        <v>1</v>
      </c>
      <c r="B3">
        <v>2867.0859120000005</v>
      </c>
      <c r="C3">
        <v>1883.6948159999999</v>
      </c>
      <c r="D3">
        <v>268.43394000000001</v>
      </c>
      <c r="E3">
        <v>70.672842000000003</v>
      </c>
      <c r="F3">
        <v>718.15722000000005</v>
      </c>
      <c r="G3">
        <v>0</v>
      </c>
      <c r="H3">
        <v>0</v>
      </c>
      <c r="J3">
        <v>1323.1550340000001</v>
      </c>
      <c r="L3">
        <v>0</v>
      </c>
      <c r="N3">
        <v>0</v>
      </c>
      <c r="O3">
        <v>17.286059999999999</v>
      </c>
      <c r="P3">
        <v>0</v>
      </c>
      <c r="Q3">
        <v>0</v>
      </c>
      <c r="R3">
        <v>0</v>
      </c>
      <c r="S3">
        <v>0</v>
      </c>
      <c r="T3">
        <v>16.928910000000002</v>
      </c>
      <c r="U3">
        <v>146.417214</v>
      </c>
      <c r="V3" s="3">
        <f t="shared" ref="V3:V31" si="0">B3+E3+F3+I3</f>
        <v>3655.9159740000005</v>
      </c>
      <c r="W3" s="3">
        <f t="shared" ref="W3:W31" si="1">C3+D3+SUM(G3:U3)-I3</f>
        <v>3655.9159740000005</v>
      </c>
      <c r="X3" s="3">
        <f t="shared" ref="X3:X31" si="2">V3-W3</f>
        <v>0</v>
      </c>
    </row>
    <row r="4" spans="1:24">
      <c r="A4" s="1" t="s">
        <v>2</v>
      </c>
      <c r="B4">
        <v>995.26276199999995</v>
      </c>
      <c r="C4">
        <v>200.13257400000001</v>
      </c>
      <c r="D4">
        <v>0</v>
      </c>
      <c r="E4">
        <v>410.79596718360028</v>
      </c>
      <c r="F4">
        <v>465.25216200000006</v>
      </c>
      <c r="G4">
        <v>0</v>
      </c>
      <c r="H4">
        <v>0</v>
      </c>
      <c r="J4">
        <v>1534.5021180000003</v>
      </c>
      <c r="L4">
        <v>0</v>
      </c>
      <c r="N4">
        <v>0</v>
      </c>
      <c r="O4">
        <v>51.488781183600025</v>
      </c>
      <c r="P4">
        <v>0</v>
      </c>
      <c r="Q4">
        <v>0</v>
      </c>
      <c r="R4">
        <v>0</v>
      </c>
      <c r="S4">
        <v>0</v>
      </c>
      <c r="T4">
        <v>20.857560000000003</v>
      </c>
      <c r="U4">
        <v>64.329858000000002</v>
      </c>
      <c r="V4" s="3">
        <f t="shared" si="0"/>
        <v>1871.3108911836002</v>
      </c>
      <c r="W4" s="3">
        <f t="shared" si="1"/>
        <v>1871.3108911836002</v>
      </c>
      <c r="X4" s="3">
        <f t="shared" si="2"/>
        <v>0</v>
      </c>
    </row>
    <row r="5" spans="1:24">
      <c r="A5" s="1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0</v>
      </c>
      <c r="W5" s="3">
        <f t="shared" si="1"/>
        <v>0</v>
      </c>
      <c r="X5" s="3">
        <f t="shared" si="2"/>
        <v>0</v>
      </c>
    </row>
    <row r="6" spans="1:24">
      <c r="A6" s="1" t="s">
        <v>4</v>
      </c>
      <c r="B6">
        <v>256.17598056000003</v>
      </c>
      <c r="C6">
        <v>123.98819400000002</v>
      </c>
      <c r="D6">
        <v>0</v>
      </c>
      <c r="E6">
        <v>3.5714999999764503E-3</v>
      </c>
      <c r="F6">
        <v>85.70171400000001</v>
      </c>
      <c r="G6">
        <v>0</v>
      </c>
      <c r="H6">
        <v>0</v>
      </c>
      <c r="J6">
        <v>190.06865844000001</v>
      </c>
      <c r="L6">
        <v>0</v>
      </c>
      <c r="N6">
        <v>0</v>
      </c>
      <c r="O6">
        <v>13.968565079999999</v>
      </c>
      <c r="P6">
        <v>0</v>
      </c>
      <c r="Q6">
        <v>0</v>
      </c>
      <c r="R6">
        <v>0</v>
      </c>
      <c r="S6">
        <v>0</v>
      </c>
      <c r="T6">
        <v>0</v>
      </c>
      <c r="U6">
        <v>13.85584854</v>
      </c>
      <c r="V6" s="3">
        <f t="shared" si="0"/>
        <v>341.88126606000003</v>
      </c>
      <c r="W6" s="3">
        <f t="shared" si="1"/>
        <v>341.88126606000003</v>
      </c>
      <c r="X6" s="3">
        <f t="shared" si="2"/>
        <v>0</v>
      </c>
    </row>
    <row r="7" spans="1:24">
      <c r="A7" s="2" t="s">
        <v>5</v>
      </c>
      <c r="B7">
        <v>2033.2692360000001</v>
      </c>
      <c r="C7">
        <v>5.7144000000000004</v>
      </c>
      <c r="D7">
        <v>17.471778</v>
      </c>
      <c r="E7">
        <v>5089.9589400000004</v>
      </c>
      <c r="F7">
        <v>1637.1756</v>
      </c>
      <c r="G7">
        <v>0</v>
      </c>
      <c r="H7">
        <v>0</v>
      </c>
      <c r="J7">
        <v>8074.2329100000006</v>
      </c>
      <c r="L7">
        <v>1.200024</v>
      </c>
      <c r="N7">
        <v>0</v>
      </c>
      <c r="O7">
        <v>288.34862400000003</v>
      </c>
      <c r="P7">
        <v>0</v>
      </c>
      <c r="Q7">
        <v>0</v>
      </c>
      <c r="R7">
        <v>0</v>
      </c>
      <c r="S7">
        <v>15.714600000000001</v>
      </c>
      <c r="T7">
        <v>39.900798000000009</v>
      </c>
      <c r="U7">
        <v>317.82064200000002</v>
      </c>
      <c r="V7" s="3">
        <f t="shared" si="0"/>
        <v>8760.403776000001</v>
      </c>
      <c r="W7" s="3">
        <f t="shared" si="1"/>
        <v>8760.403776000001</v>
      </c>
      <c r="X7" s="3">
        <f t="shared" si="2"/>
        <v>0</v>
      </c>
    </row>
    <row r="8" spans="1:24">
      <c r="A8" s="1" t="s">
        <v>6</v>
      </c>
      <c r="B8">
        <v>927.81855600000006</v>
      </c>
      <c r="C8">
        <v>0</v>
      </c>
      <c r="D8">
        <v>0</v>
      </c>
      <c r="E8">
        <v>528.02484600000003</v>
      </c>
      <c r="F8">
        <v>0</v>
      </c>
      <c r="G8">
        <v>0</v>
      </c>
      <c r="H8">
        <v>0</v>
      </c>
      <c r="J8">
        <v>937.00445400000001</v>
      </c>
      <c r="L8">
        <v>0</v>
      </c>
      <c r="N8">
        <v>0</v>
      </c>
      <c r="O8">
        <v>471.12513660000002</v>
      </c>
      <c r="P8">
        <v>0</v>
      </c>
      <c r="Q8">
        <v>0</v>
      </c>
      <c r="R8">
        <v>0</v>
      </c>
      <c r="S8">
        <v>0</v>
      </c>
      <c r="T8">
        <v>0.58572600000003572</v>
      </c>
      <c r="U8">
        <v>47.129514000000007</v>
      </c>
      <c r="V8" s="3">
        <f t="shared" si="0"/>
        <v>1455.843402</v>
      </c>
      <c r="W8" s="3">
        <f t="shared" si="1"/>
        <v>1455.8448306</v>
      </c>
      <c r="X8" s="3">
        <f t="shared" si="2"/>
        <v>-1.4286000000538479E-3</v>
      </c>
    </row>
    <row r="9" spans="1:24">
      <c r="A9" s="1" t="s">
        <v>7</v>
      </c>
      <c r="B9">
        <v>6028.1634180000001</v>
      </c>
      <c r="C9">
        <v>3629.2582980000002</v>
      </c>
      <c r="D9">
        <v>0</v>
      </c>
      <c r="E9">
        <v>118.38808200000001</v>
      </c>
      <c r="F9">
        <v>253.14792</v>
      </c>
      <c r="G9">
        <v>0</v>
      </c>
      <c r="H9">
        <v>0</v>
      </c>
      <c r="J9">
        <v>2202.701196</v>
      </c>
      <c r="L9">
        <v>0</v>
      </c>
      <c r="N9">
        <v>0</v>
      </c>
      <c r="O9">
        <v>420.194118</v>
      </c>
      <c r="P9">
        <v>0</v>
      </c>
      <c r="Q9">
        <v>0</v>
      </c>
      <c r="R9">
        <v>0</v>
      </c>
      <c r="S9">
        <v>0</v>
      </c>
      <c r="T9">
        <v>71.47285799999996</v>
      </c>
      <c r="U9">
        <v>76.072950000000006</v>
      </c>
      <c r="V9" s="3">
        <f t="shared" si="0"/>
        <v>6399.6994200000008</v>
      </c>
      <c r="W9" s="3">
        <f t="shared" si="1"/>
        <v>6399.6994200000008</v>
      </c>
      <c r="X9" s="3">
        <f t="shared" si="2"/>
        <v>0</v>
      </c>
    </row>
    <row r="10" spans="1:24">
      <c r="A10" s="1" t="s">
        <v>8</v>
      </c>
      <c r="B10">
        <v>119.93096999999973</v>
      </c>
      <c r="C10">
        <v>11.057364000000002</v>
      </c>
      <c r="D10">
        <v>0</v>
      </c>
      <c r="E10">
        <v>245.17633200000003</v>
      </c>
      <c r="F10">
        <v>2220.387264</v>
      </c>
      <c r="G10">
        <v>0</v>
      </c>
      <c r="H10">
        <v>0</v>
      </c>
      <c r="J10">
        <v>2450.1490020000001</v>
      </c>
      <c r="L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6.4287000000000001</v>
      </c>
      <c r="U10">
        <v>117.85950000000001</v>
      </c>
      <c r="V10" s="3">
        <f t="shared" si="0"/>
        <v>2585.4945659999998</v>
      </c>
      <c r="W10" s="3">
        <f t="shared" si="1"/>
        <v>2585.4945659999998</v>
      </c>
      <c r="X10" s="3">
        <f t="shared" si="2"/>
        <v>0</v>
      </c>
    </row>
    <row r="11" spans="1:24">
      <c r="A11" s="1" t="s">
        <v>9</v>
      </c>
      <c r="B11">
        <v>364.56443400000012</v>
      </c>
      <c r="C11">
        <v>28.543428000000002</v>
      </c>
      <c r="D11">
        <v>0</v>
      </c>
      <c r="E11">
        <v>1079.4501600000001</v>
      </c>
      <c r="F11">
        <v>2163.6289860000002</v>
      </c>
      <c r="G11">
        <v>0</v>
      </c>
      <c r="H11">
        <v>0</v>
      </c>
      <c r="J11">
        <v>3469.7265360000006</v>
      </c>
      <c r="L11">
        <v>0</v>
      </c>
      <c r="N11">
        <v>0</v>
      </c>
      <c r="O11">
        <v>22.014726000000003</v>
      </c>
      <c r="P11">
        <v>0</v>
      </c>
      <c r="Q11">
        <v>0</v>
      </c>
      <c r="R11">
        <v>0</v>
      </c>
      <c r="S11">
        <v>0</v>
      </c>
      <c r="T11">
        <v>14.043138000000004</v>
      </c>
      <c r="U11">
        <v>73.315752000000003</v>
      </c>
      <c r="V11" s="3">
        <f t="shared" si="0"/>
        <v>3607.6435800000004</v>
      </c>
      <c r="W11" s="3">
        <f t="shared" si="1"/>
        <v>3607.6435800000004</v>
      </c>
      <c r="X11" s="3">
        <f t="shared" si="2"/>
        <v>0</v>
      </c>
    </row>
    <row r="12" spans="1:24">
      <c r="A12" s="1" t="s">
        <v>10</v>
      </c>
      <c r="B12">
        <v>118.7023740000004</v>
      </c>
      <c r="C12">
        <v>6.5715600001652582E-3</v>
      </c>
      <c r="D12">
        <v>0</v>
      </c>
      <c r="E12">
        <v>639.84136799999999</v>
      </c>
      <c r="F12">
        <v>2559.1583250000003</v>
      </c>
      <c r="G12">
        <v>0</v>
      </c>
      <c r="H12">
        <v>0</v>
      </c>
      <c r="J12">
        <v>3190.6670977800004</v>
      </c>
      <c r="L12">
        <v>21.644575740000001</v>
      </c>
      <c r="N12">
        <v>0</v>
      </c>
      <c r="O12">
        <v>0.22957602000000002</v>
      </c>
      <c r="P12">
        <v>0</v>
      </c>
      <c r="Q12">
        <v>0</v>
      </c>
      <c r="R12">
        <v>0</v>
      </c>
      <c r="S12">
        <v>0</v>
      </c>
      <c r="T12">
        <v>0</v>
      </c>
      <c r="U12">
        <v>105.15424590000001</v>
      </c>
      <c r="V12" s="3">
        <f t="shared" si="0"/>
        <v>3317.7020670000006</v>
      </c>
      <c r="W12" s="3">
        <f t="shared" si="1"/>
        <v>3317.7020670000011</v>
      </c>
      <c r="X12" s="3">
        <f t="shared" si="2"/>
        <v>0</v>
      </c>
    </row>
    <row r="13" spans="1:24">
      <c r="A13" s="1" t="s">
        <v>11</v>
      </c>
      <c r="B13">
        <v>13.557414000000019</v>
      </c>
      <c r="C13">
        <v>1.8143220000000198</v>
      </c>
      <c r="D13">
        <v>0</v>
      </c>
      <c r="E13">
        <v>389.82208200000002</v>
      </c>
      <c r="F13">
        <v>249.46213200000003</v>
      </c>
      <c r="G13">
        <v>0</v>
      </c>
      <c r="H13">
        <v>0</v>
      </c>
      <c r="J13">
        <v>639.28421400000002</v>
      </c>
      <c r="L13">
        <v>0</v>
      </c>
      <c r="N13">
        <v>0</v>
      </c>
      <c r="O13">
        <v>5.1286740000000002</v>
      </c>
      <c r="P13">
        <v>0</v>
      </c>
      <c r="Q13">
        <v>0</v>
      </c>
      <c r="R13">
        <v>0</v>
      </c>
      <c r="S13">
        <v>0</v>
      </c>
      <c r="T13">
        <v>0</v>
      </c>
      <c r="U13">
        <v>6.6144180000000006</v>
      </c>
      <c r="V13" s="3">
        <f t="shared" si="0"/>
        <v>652.84162800000001</v>
      </c>
      <c r="W13" s="3">
        <f t="shared" si="1"/>
        <v>652.84162800000013</v>
      </c>
      <c r="X13" s="3">
        <f t="shared" si="2"/>
        <v>0</v>
      </c>
    </row>
    <row r="14" spans="1:24">
      <c r="A14" s="1" t="s">
        <v>12</v>
      </c>
      <c r="B14">
        <v>31.657775999999963</v>
      </c>
      <c r="C14">
        <v>0</v>
      </c>
      <c r="D14">
        <v>0</v>
      </c>
      <c r="E14">
        <v>495.88134600000006</v>
      </c>
      <c r="F14">
        <v>0</v>
      </c>
      <c r="G14">
        <v>0</v>
      </c>
      <c r="H14">
        <v>0</v>
      </c>
      <c r="J14">
        <v>503.338638</v>
      </c>
      <c r="L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24.200484000000003</v>
      </c>
      <c r="V14" s="3">
        <f t="shared" si="0"/>
        <v>527.53912200000002</v>
      </c>
      <c r="W14" s="3">
        <f t="shared" si="1"/>
        <v>527.53912200000002</v>
      </c>
      <c r="X14" s="3">
        <f t="shared" si="2"/>
        <v>0</v>
      </c>
    </row>
    <row r="15" spans="1:24">
      <c r="A15" s="1" t="s">
        <v>13</v>
      </c>
      <c r="B15">
        <v>14.957442000000034</v>
      </c>
      <c r="C15">
        <v>0</v>
      </c>
      <c r="D15">
        <v>0</v>
      </c>
      <c r="E15">
        <v>347.96410200000003</v>
      </c>
      <c r="F15">
        <v>213.28998000000004</v>
      </c>
      <c r="G15">
        <v>0</v>
      </c>
      <c r="H15">
        <v>0</v>
      </c>
      <c r="J15">
        <v>563.23983599999997</v>
      </c>
      <c r="L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3.157206</v>
      </c>
      <c r="U15">
        <v>9.8144819999999999</v>
      </c>
      <c r="V15" s="3">
        <f t="shared" si="0"/>
        <v>576.21152400000005</v>
      </c>
      <c r="W15" s="3">
        <f t="shared" si="1"/>
        <v>576.21152399999994</v>
      </c>
      <c r="X15" s="3">
        <f t="shared" si="2"/>
        <v>0</v>
      </c>
    </row>
    <row r="16" spans="1:24">
      <c r="A16" s="1" t="s">
        <v>14</v>
      </c>
      <c r="B16">
        <v>4186.5837299999994</v>
      </c>
      <c r="C16">
        <v>2285.7600000000002</v>
      </c>
      <c r="D16">
        <v>0</v>
      </c>
      <c r="E16">
        <v>1559.1804687000003</v>
      </c>
      <c r="F16">
        <v>2571.48</v>
      </c>
      <c r="G16">
        <v>0</v>
      </c>
      <c r="H16">
        <v>0</v>
      </c>
      <c r="J16">
        <v>5622.9981720000005</v>
      </c>
      <c r="L16">
        <v>0</v>
      </c>
      <c r="N16">
        <v>0</v>
      </c>
      <c r="O16">
        <v>199.50451143899932</v>
      </c>
      <c r="P16">
        <v>0</v>
      </c>
      <c r="Q16">
        <v>0</v>
      </c>
      <c r="R16">
        <v>0</v>
      </c>
      <c r="S16">
        <v>0</v>
      </c>
      <c r="T16">
        <v>0</v>
      </c>
      <c r="U16">
        <v>208.981515261</v>
      </c>
      <c r="V16" s="3">
        <f t="shared" si="0"/>
        <v>8317.2441987000002</v>
      </c>
      <c r="W16" s="3">
        <f t="shared" si="1"/>
        <v>8317.2441987000002</v>
      </c>
      <c r="X16" s="3">
        <f t="shared" si="2"/>
        <v>0</v>
      </c>
    </row>
    <row r="17" spans="1:24">
      <c r="A17" s="1" t="s">
        <v>15</v>
      </c>
      <c r="B17">
        <v>751.17216600000017</v>
      </c>
      <c r="C17">
        <v>180.68932800000002</v>
      </c>
      <c r="D17">
        <v>0</v>
      </c>
      <c r="E17">
        <v>158.00315999999987</v>
      </c>
      <c r="F17">
        <v>322.86360000000002</v>
      </c>
      <c r="G17">
        <v>0</v>
      </c>
      <c r="H17">
        <v>0</v>
      </c>
      <c r="J17">
        <v>987.74832600000002</v>
      </c>
      <c r="L17">
        <v>0.61429800000000001</v>
      </c>
      <c r="N17">
        <v>0</v>
      </c>
      <c r="O17">
        <v>24.557634000000004</v>
      </c>
      <c r="P17">
        <v>0</v>
      </c>
      <c r="Q17">
        <v>0</v>
      </c>
      <c r="R17">
        <v>0</v>
      </c>
      <c r="S17">
        <v>0</v>
      </c>
      <c r="T17">
        <v>6.8572800000000012</v>
      </c>
      <c r="U17">
        <v>31.572060000000004</v>
      </c>
      <c r="V17" s="3">
        <f t="shared" si="0"/>
        <v>1232.0389260000002</v>
      </c>
      <c r="W17" s="3">
        <f t="shared" si="1"/>
        <v>1232.0389259999999</v>
      </c>
      <c r="X17" s="3">
        <f t="shared" si="2"/>
        <v>0</v>
      </c>
    </row>
    <row r="18" spans="1:24">
      <c r="A18" s="1" t="s">
        <v>16</v>
      </c>
      <c r="B18">
        <v>185.96086200000005</v>
      </c>
      <c r="C18">
        <v>0</v>
      </c>
      <c r="D18">
        <v>0</v>
      </c>
      <c r="E18">
        <v>1150.423008</v>
      </c>
      <c r="F18">
        <v>0</v>
      </c>
      <c r="G18">
        <v>0</v>
      </c>
      <c r="H18">
        <v>0</v>
      </c>
      <c r="J18">
        <v>1279.139868</v>
      </c>
      <c r="L18">
        <v>0</v>
      </c>
      <c r="N18">
        <v>0</v>
      </c>
      <c r="O18">
        <v>13.657416000000001</v>
      </c>
      <c r="P18">
        <v>0</v>
      </c>
      <c r="Q18">
        <v>0</v>
      </c>
      <c r="R18">
        <v>0</v>
      </c>
      <c r="S18">
        <v>0</v>
      </c>
      <c r="T18">
        <v>7.2287160000000013</v>
      </c>
      <c r="U18">
        <v>36.357869999999998</v>
      </c>
      <c r="V18" s="3">
        <f t="shared" si="0"/>
        <v>1336.3838700000001</v>
      </c>
      <c r="W18" s="3">
        <f t="shared" si="1"/>
        <v>1336.3838700000001</v>
      </c>
      <c r="X18" s="3">
        <f t="shared" si="2"/>
        <v>0</v>
      </c>
    </row>
    <row r="19" spans="1:24">
      <c r="A19" s="1" t="s">
        <v>17</v>
      </c>
      <c r="B19">
        <v>47.429519999999904</v>
      </c>
      <c r="C19">
        <v>0</v>
      </c>
      <c r="D19">
        <v>0</v>
      </c>
      <c r="E19">
        <v>645.32719200000008</v>
      </c>
      <c r="F19">
        <v>288.26290800000004</v>
      </c>
      <c r="G19">
        <v>0</v>
      </c>
      <c r="H19">
        <v>0</v>
      </c>
      <c r="J19">
        <v>952.03332599999999</v>
      </c>
      <c r="L19">
        <v>0</v>
      </c>
      <c r="N19">
        <v>0</v>
      </c>
      <c r="O19">
        <v>6.1429800000000006</v>
      </c>
      <c r="P19">
        <v>0</v>
      </c>
      <c r="Q19">
        <v>0</v>
      </c>
      <c r="R19">
        <v>0</v>
      </c>
      <c r="S19">
        <v>0</v>
      </c>
      <c r="T19">
        <v>1.371456</v>
      </c>
      <c r="U19">
        <v>21.471858000000001</v>
      </c>
      <c r="V19" s="3">
        <f t="shared" si="0"/>
        <v>981.01962000000003</v>
      </c>
      <c r="W19" s="3">
        <f t="shared" si="1"/>
        <v>981.01961999999992</v>
      </c>
      <c r="X19" s="3">
        <f t="shared" si="2"/>
        <v>0</v>
      </c>
    </row>
    <row r="20" spans="1:24">
      <c r="A20" s="1" t="s">
        <v>18</v>
      </c>
      <c r="B20">
        <v>2041.2122520000003</v>
      </c>
      <c r="C20">
        <v>0</v>
      </c>
      <c r="D20">
        <v>22.214730000000003</v>
      </c>
      <c r="E20">
        <v>516.75319200000013</v>
      </c>
      <c r="F20">
        <v>1840.8082440000001</v>
      </c>
      <c r="G20">
        <v>0</v>
      </c>
      <c r="H20">
        <v>0</v>
      </c>
      <c r="J20">
        <v>4163.5546979999999</v>
      </c>
      <c r="L20">
        <v>0</v>
      </c>
      <c r="N20">
        <v>0</v>
      </c>
      <c r="O20">
        <v>30.029172000000003</v>
      </c>
      <c r="P20">
        <v>0</v>
      </c>
      <c r="Q20">
        <v>0</v>
      </c>
      <c r="R20">
        <v>0</v>
      </c>
      <c r="S20">
        <v>0</v>
      </c>
      <c r="T20">
        <v>6.6429900000000037</v>
      </c>
      <c r="U20">
        <v>176.33209800000003</v>
      </c>
      <c r="V20" s="3">
        <f t="shared" si="0"/>
        <v>4398.7736880000002</v>
      </c>
      <c r="W20" s="3">
        <f t="shared" si="1"/>
        <v>4398.7736879999993</v>
      </c>
      <c r="X20" s="3">
        <f t="shared" si="2"/>
        <v>0</v>
      </c>
    </row>
    <row r="21" spans="1:24">
      <c r="A21" s="1" t="s">
        <v>19</v>
      </c>
      <c r="B21">
        <v>22.466449320000027</v>
      </c>
      <c r="C21">
        <v>0</v>
      </c>
      <c r="D21">
        <v>0</v>
      </c>
      <c r="E21">
        <v>205.25239068000002</v>
      </c>
      <c r="F21">
        <v>0</v>
      </c>
      <c r="G21">
        <v>0</v>
      </c>
      <c r="H21">
        <v>0</v>
      </c>
      <c r="J21">
        <v>218.20436400000003</v>
      </c>
      <c r="L21">
        <v>0</v>
      </c>
      <c r="N21">
        <v>0</v>
      </c>
      <c r="O21">
        <v>0.342864</v>
      </c>
      <c r="P21">
        <v>0</v>
      </c>
      <c r="Q21">
        <v>0</v>
      </c>
      <c r="R21">
        <v>0</v>
      </c>
      <c r="S21">
        <v>0</v>
      </c>
      <c r="T21">
        <v>0</v>
      </c>
      <c r="U21">
        <v>9.1716119999999997</v>
      </c>
      <c r="V21" s="3">
        <f t="shared" si="0"/>
        <v>227.71884000000006</v>
      </c>
      <c r="W21" s="3">
        <f t="shared" si="1"/>
        <v>227.71884000000003</v>
      </c>
      <c r="X21" s="3">
        <f t="shared" si="2"/>
        <v>0</v>
      </c>
    </row>
    <row r="22" spans="1:24">
      <c r="A22" s="1" t="s">
        <v>20</v>
      </c>
      <c r="B22">
        <v>15.22887599999989</v>
      </c>
      <c r="C22">
        <v>0</v>
      </c>
      <c r="D22">
        <v>0</v>
      </c>
      <c r="E22">
        <v>115.11658799999998</v>
      </c>
      <c r="F22">
        <v>1021.4347140000001</v>
      </c>
      <c r="G22">
        <v>0</v>
      </c>
      <c r="H22">
        <v>0</v>
      </c>
      <c r="J22">
        <v>1157.065998</v>
      </c>
      <c r="L22">
        <v>0</v>
      </c>
      <c r="N22">
        <v>0</v>
      </c>
      <c r="O22">
        <v>4.5286620000000006</v>
      </c>
      <c r="P22">
        <v>0</v>
      </c>
      <c r="Q22">
        <v>0</v>
      </c>
      <c r="R22">
        <v>0</v>
      </c>
      <c r="S22">
        <v>0</v>
      </c>
      <c r="T22">
        <v>4.542948</v>
      </c>
      <c r="U22">
        <v>-14.357430000000003</v>
      </c>
      <c r="V22" s="3">
        <f t="shared" si="0"/>
        <v>1151.780178</v>
      </c>
      <c r="W22" s="3">
        <f t="shared" si="1"/>
        <v>1151.780178</v>
      </c>
      <c r="X22" s="3">
        <f t="shared" si="2"/>
        <v>0</v>
      </c>
    </row>
    <row r="23" spans="1:24">
      <c r="A23" s="1" t="s">
        <v>21</v>
      </c>
      <c r="B23">
        <v>0.27143400000000001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J23">
        <v>0</v>
      </c>
      <c r="L23">
        <v>0</v>
      </c>
      <c r="N23">
        <v>0</v>
      </c>
      <c r="O23">
        <v>0.18571800000000002</v>
      </c>
      <c r="P23">
        <v>0</v>
      </c>
      <c r="Q23">
        <v>0</v>
      </c>
      <c r="R23">
        <v>0</v>
      </c>
      <c r="S23">
        <v>0</v>
      </c>
      <c r="T23">
        <v>0</v>
      </c>
      <c r="U23">
        <v>8.5716000000000001E-2</v>
      </c>
      <c r="V23" s="3">
        <f t="shared" si="0"/>
        <v>0.27143400000000001</v>
      </c>
      <c r="W23" s="3">
        <f t="shared" si="1"/>
        <v>0.27143400000000001</v>
      </c>
      <c r="X23" s="3">
        <f t="shared" si="2"/>
        <v>0</v>
      </c>
    </row>
    <row r="24" spans="1:24">
      <c r="A24" s="1" t="s">
        <v>22</v>
      </c>
      <c r="B24">
        <v>25.914804000000004</v>
      </c>
      <c r="C24">
        <v>0</v>
      </c>
      <c r="D24">
        <v>0</v>
      </c>
      <c r="E24">
        <v>325.33507800000001</v>
      </c>
      <c r="F24">
        <v>0</v>
      </c>
      <c r="G24">
        <v>0</v>
      </c>
      <c r="H24">
        <v>0</v>
      </c>
      <c r="J24">
        <v>338.03533200000004</v>
      </c>
      <c r="L24">
        <v>0</v>
      </c>
      <c r="N24">
        <v>0</v>
      </c>
      <c r="O24">
        <v>3.7143600000000006</v>
      </c>
      <c r="P24">
        <v>0</v>
      </c>
      <c r="Q24">
        <v>0</v>
      </c>
      <c r="R24">
        <v>0</v>
      </c>
      <c r="S24">
        <v>0</v>
      </c>
      <c r="T24">
        <v>1.042878</v>
      </c>
      <c r="U24">
        <v>8.4573119999999999</v>
      </c>
      <c r="V24" s="3">
        <f t="shared" si="0"/>
        <v>351.24988200000001</v>
      </c>
      <c r="W24" s="3">
        <f t="shared" si="1"/>
        <v>351.24988200000001</v>
      </c>
      <c r="X24" s="3">
        <f t="shared" si="2"/>
        <v>0</v>
      </c>
    </row>
    <row r="25" spans="1:24">
      <c r="A25" s="1" t="s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L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0</v>
      </c>
      <c r="W25" s="3">
        <f t="shared" si="1"/>
        <v>0</v>
      </c>
      <c r="X25" s="3">
        <f t="shared" si="2"/>
        <v>0</v>
      </c>
    </row>
    <row r="26" spans="1:24">
      <c r="A26" s="1" t="s">
        <v>24</v>
      </c>
      <c r="B26">
        <v>0.22857600000000003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J26">
        <v>0</v>
      </c>
      <c r="L26">
        <v>0</v>
      </c>
      <c r="N26">
        <v>0</v>
      </c>
      <c r="O26">
        <v>0.15714600000000001</v>
      </c>
      <c r="P26">
        <v>0</v>
      </c>
      <c r="Q26">
        <v>0</v>
      </c>
      <c r="R26">
        <v>0</v>
      </c>
      <c r="S26">
        <v>0</v>
      </c>
      <c r="T26">
        <v>0</v>
      </c>
      <c r="U26">
        <v>7.1430000000000007E-2</v>
      </c>
      <c r="V26" s="3">
        <f t="shared" si="0"/>
        <v>0.22857600000000003</v>
      </c>
      <c r="W26" s="3">
        <f t="shared" si="1"/>
        <v>0.228576</v>
      </c>
      <c r="X26" s="3">
        <f t="shared" si="2"/>
        <v>0</v>
      </c>
    </row>
    <row r="27" spans="1:24">
      <c r="A27" s="1" t="s">
        <v>25</v>
      </c>
      <c r="B27">
        <v>3276.1083780000004</v>
      </c>
      <c r="C27">
        <v>56.258268000000029</v>
      </c>
      <c r="D27">
        <v>457.15200000000004</v>
      </c>
      <c r="E27">
        <v>0</v>
      </c>
      <c r="F27">
        <v>0</v>
      </c>
      <c r="G27">
        <v>0</v>
      </c>
      <c r="H27">
        <v>0</v>
      </c>
      <c r="J27">
        <v>2295.4030500000003</v>
      </c>
      <c r="L27">
        <v>0</v>
      </c>
      <c r="N27">
        <v>0</v>
      </c>
      <c r="O27">
        <v>3.0000600000000004</v>
      </c>
      <c r="P27">
        <v>0</v>
      </c>
      <c r="Q27">
        <v>0</v>
      </c>
      <c r="R27">
        <v>0</v>
      </c>
      <c r="S27">
        <v>0</v>
      </c>
      <c r="T27">
        <v>0</v>
      </c>
      <c r="U27">
        <v>464.29500000000002</v>
      </c>
      <c r="V27" s="3">
        <f t="shared" si="0"/>
        <v>3276.1083780000004</v>
      </c>
      <c r="W27" s="3">
        <f t="shared" si="1"/>
        <v>3276.1083780000004</v>
      </c>
      <c r="X27" s="3">
        <f t="shared" si="2"/>
        <v>0</v>
      </c>
    </row>
    <row r="28" spans="1:24">
      <c r="A28" s="1" t="s">
        <v>26</v>
      </c>
      <c r="B28">
        <v>550.25386200000003</v>
      </c>
      <c r="C28">
        <v>0</v>
      </c>
      <c r="D28">
        <v>0</v>
      </c>
      <c r="E28">
        <v>1550.1738599999999</v>
      </c>
      <c r="F28">
        <v>0</v>
      </c>
      <c r="G28">
        <v>0</v>
      </c>
      <c r="H28">
        <v>0</v>
      </c>
      <c r="J28">
        <v>2038.7979180000002</v>
      </c>
      <c r="L28">
        <v>0</v>
      </c>
      <c r="N28">
        <v>0</v>
      </c>
      <c r="O28">
        <v>8.2001640000000009</v>
      </c>
      <c r="P28">
        <v>0</v>
      </c>
      <c r="Q28">
        <v>0</v>
      </c>
      <c r="R28">
        <v>0</v>
      </c>
      <c r="S28">
        <v>0</v>
      </c>
      <c r="T28">
        <v>0</v>
      </c>
      <c r="U28">
        <v>53.429639999999999</v>
      </c>
      <c r="V28" s="3">
        <f t="shared" si="0"/>
        <v>2100.4277219999999</v>
      </c>
      <c r="W28" s="3">
        <f t="shared" si="1"/>
        <v>2100.4277220000004</v>
      </c>
      <c r="X28" s="3">
        <f t="shared" si="2"/>
        <v>0</v>
      </c>
    </row>
    <row r="29" spans="1:24">
      <c r="A29" s="1" t="s">
        <v>27</v>
      </c>
      <c r="B29">
        <v>330.95561898</v>
      </c>
      <c r="C29">
        <v>160.02362898000001</v>
      </c>
      <c r="D29">
        <v>0</v>
      </c>
      <c r="E29">
        <v>0</v>
      </c>
      <c r="F29">
        <v>0</v>
      </c>
      <c r="G29">
        <v>0</v>
      </c>
      <c r="H29">
        <v>0</v>
      </c>
      <c r="J29">
        <v>150.00300000000001</v>
      </c>
      <c r="L29">
        <v>0</v>
      </c>
      <c r="N29">
        <v>0</v>
      </c>
      <c r="O29">
        <v>4.8429540000000006</v>
      </c>
      <c r="P29">
        <v>0</v>
      </c>
      <c r="Q29">
        <v>0</v>
      </c>
      <c r="R29">
        <v>0</v>
      </c>
      <c r="S29">
        <v>0</v>
      </c>
      <c r="T29">
        <v>2.5143360000000006</v>
      </c>
      <c r="U29">
        <v>13.571700000000002</v>
      </c>
      <c r="V29" s="3">
        <f t="shared" si="0"/>
        <v>330.95561898</v>
      </c>
      <c r="W29" s="3">
        <f t="shared" si="1"/>
        <v>330.95561898000005</v>
      </c>
      <c r="X29" s="3">
        <f t="shared" si="2"/>
        <v>0</v>
      </c>
    </row>
    <row r="30" spans="1:24">
      <c r="A30" s="1" t="s">
        <v>28</v>
      </c>
      <c r="B30">
        <v>17.178486420000009</v>
      </c>
      <c r="C30">
        <v>6.7144200000198795E-3</v>
      </c>
      <c r="D30">
        <v>0</v>
      </c>
      <c r="E30">
        <v>213.20426400000002</v>
      </c>
      <c r="F30">
        <v>0</v>
      </c>
      <c r="G30">
        <v>0</v>
      </c>
      <c r="H30">
        <v>0</v>
      </c>
      <c r="J30">
        <v>223.975908</v>
      </c>
      <c r="L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6.4001280000000014</v>
      </c>
      <c r="V30" s="3">
        <f t="shared" si="0"/>
        <v>230.38275042000004</v>
      </c>
      <c r="W30" s="3">
        <f t="shared" si="1"/>
        <v>230.38275042000001</v>
      </c>
      <c r="X30" s="3">
        <f t="shared" si="2"/>
        <v>0</v>
      </c>
    </row>
    <row r="31" spans="1:24">
      <c r="A31" s="1" t="s">
        <v>29</v>
      </c>
      <c r="B31">
        <v>3925.8356580000004</v>
      </c>
      <c r="C31">
        <v>1349.3127000000002</v>
      </c>
      <c r="D31">
        <v>0</v>
      </c>
      <c r="E31">
        <v>0</v>
      </c>
      <c r="F31">
        <v>246.60493200000002</v>
      </c>
      <c r="G31">
        <v>0</v>
      </c>
      <c r="H31">
        <v>0</v>
      </c>
      <c r="J31">
        <v>2427.6771239999998</v>
      </c>
      <c r="L31">
        <v>0.12857399999999999</v>
      </c>
      <c r="N31">
        <v>0</v>
      </c>
      <c r="O31">
        <v>112.34510400000001</v>
      </c>
      <c r="P31">
        <v>0</v>
      </c>
      <c r="Q31">
        <v>0</v>
      </c>
      <c r="R31">
        <v>0</v>
      </c>
      <c r="S31">
        <v>0</v>
      </c>
      <c r="T31">
        <v>136.14558</v>
      </c>
      <c r="U31">
        <v>146.83150800000001</v>
      </c>
      <c r="V31" s="3">
        <f t="shared" si="0"/>
        <v>4172.4405900000002</v>
      </c>
      <c r="W31" s="3">
        <f t="shared" si="1"/>
        <v>4172.4405900000002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3"/>
  <sheetViews>
    <sheetView zoomScale="70" zoomScaleNormal="70" workbookViewId="0">
      <selection activeCell="I19" sqref="I19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107.62394100000002</v>
      </c>
      <c r="C2">
        <v>923.73027999999999</v>
      </c>
      <c r="D2">
        <v>115.835384</v>
      </c>
      <c r="E2">
        <v>1443.1349850000001</v>
      </c>
      <c r="F2">
        <v>345.41115000000002</v>
      </c>
      <c r="G2">
        <v>0</v>
      </c>
      <c r="H2">
        <v>115.52860200000001</v>
      </c>
      <c r="J2">
        <v>1291.152992</v>
      </c>
      <c r="L2">
        <v>82.784935000000004</v>
      </c>
      <c r="N2">
        <v>19.333075000000001</v>
      </c>
      <c r="O2">
        <v>741.36610100000007</v>
      </c>
      <c r="P2">
        <v>40.034522000000003</v>
      </c>
      <c r="Q2">
        <v>633.75048500000003</v>
      </c>
      <c r="R2">
        <v>60.257082000000004</v>
      </c>
      <c r="S2">
        <v>96.448569999999989</v>
      </c>
      <c r="T2">
        <v>240.14719400000004</v>
      </c>
      <c r="U2">
        <v>118.10683800000001</v>
      </c>
      <c r="V2" s="3">
        <f>B2+J2+E2+F2</f>
        <v>3187.3230680000001</v>
      </c>
      <c r="W2" s="3">
        <f>C2+D2+SUM(G2:U2)-J2</f>
        <v>3187.3230680000006</v>
      </c>
      <c r="X2" s="3">
        <f>V2-W2</f>
        <v>0</v>
      </c>
    </row>
    <row r="3" spans="1:24">
      <c r="A3" s="1" t="s">
        <v>1</v>
      </c>
      <c r="B3">
        <v>84.842111999999858</v>
      </c>
      <c r="C3">
        <v>4095.0655539999998</v>
      </c>
      <c r="D3">
        <v>75.666185999999996</v>
      </c>
      <c r="E3">
        <v>4164.1651110000003</v>
      </c>
      <c r="F3">
        <v>213.94529999999997</v>
      </c>
      <c r="G3">
        <v>0</v>
      </c>
      <c r="H3">
        <v>0</v>
      </c>
      <c r="J3">
        <v>1447.7542960000003</v>
      </c>
      <c r="L3">
        <v>1.8286080000000002</v>
      </c>
      <c r="N3">
        <v>30.648460000000004</v>
      </c>
      <c r="O3">
        <v>943.36234400000001</v>
      </c>
      <c r="P3">
        <v>34.76549</v>
      </c>
      <c r="Q3">
        <v>306.48226600000004</v>
      </c>
      <c r="R3">
        <v>160.13574</v>
      </c>
      <c r="S3">
        <v>37.208583000000004</v>
      </c>
      <c r="T3">
        <v>64.148682999999963</v>
      </c>
      <c r="U3">
        <v>161.39490499999999</v>
      </c>
      <c r="V3" s="3">
        <f t="shared" ref="V3:V31" si="0">B3+J3+E3+F3</f>
        <v>5910.7068190000009</v>
      </c>
      <c r="W3" s="3">
        <f t="shared" ref="W3:W31" si="1">C3+D3+SUM(G3:U3)-J3</f>
        <v>5910.706819</v>
      </c>
      <c r="X3" s="3">
        <f t="shared" ref="X3:X31" si="2">V3-W3</f>
        <v>0</v>
      </c>
    </row>
    <row r="4" spans="1:24">
      <c r="A4" s="1" t="s">
        <v>2</v>
      </c>
      <c r="B4">
        <v>413.11003099999999</v>
      </c>
      <c r="C4">
        <v>791.48781930840005</v>
      </c>
      <c r="D4">
        <v>23.284230000000001</v>
      </c>
      <c r="E4">
        <v>2187.8450574751541</v>
      </c>
      <c r="F4">
        <v>9.0483620000000009</v>
      </c>
      <c r="G4">
        <v>0</v>
      </c>
      <c r="H4">
        <v>9.3254400000000004</v>
      </c>
      <c r="J4">
        <v>5262.9540840000009</v>
      </c>
      <c r="L4">
        <v>4.0315528</v>
      </c>
      <c r="N4">
        <v>47.910173</v>
      </c>
      <c r="O4">
        <v>5628.2706132501553</v>
      </c>
      <c r="P4">
        <v>156.64481700000002</v>
      </c>
      <c r="Q4">
        <v>625.95510149999996</v>
      </c>
      <c r="R4">
        <v>30.231859839999998</v>
      </c>
      <c r="S4">
        <v>56.734984520000005</v>
      </c>
      <c r="T4">
        <v>52.773773120000314</v>
      </c>
      <c r="U4">
        <v>446.30748300000005</v>
      </c>
      <c r="V4" s="3">
        <f t="shared" si="0"/>
        <v>7872.9575344751556</v>
      </c>
      <c r="W4" s="3">
        <f t="shared" si="1"/>
        <v>7872.9578473385554</v>
      </c>
      <c r="X4" s="3">
        <f t="shared" si="2"/>
        <v>-3.128633998130681E-4</v>
      </c>
    </row>
    <row r="5" spans="1:24">
      <c r="A5" s="1" t="s">
        <v>3</v>
      </c>
      <c r="B5">
        <v>737.81560300000024</v>
      </c>
      <c r="C5">
        <v>7482.5183020000004</v>
      </c>
      <c r="D5">
        <v>0</v>
      </c>
      <c r="E5">
        <v>677.85975700000006</v>
      </c>
      <c r="F5">
        <v>0</v>
      </c>
      <c r="G5">
        <v>0</v>
      </c>
      <c r="H5">
        <v>0</v>
      </c>
      <c r="J5">
        <v>9972.1035060000013</v>
      </c>
      <c r="L5">
        <v>0</v>
      </c>
      <c r="N5">
        <v>75.141677999999999</v>
      </c>
      <c r="O5">
        <v>2707.4436660000001</v>
      </c>
      <c r="P5">
        <v>24.61899</v>
      </c>
      <c r="Q5">
        <v>328.59252900000001</v>
      </c>
      <c r="R5">
        <v>59.063064000000004</v>
      </c>
      <c r="S5">
        <v>32.218707999999999</v>
      </c>
      <c r="T5">
        <v>26.986735999999869</v>
      </c>
      <c r="U5">
        <v>651.1951929999999</v>
      </c>
      <c r="V5" s="3">
        <f t="shared" si="0"/>
        <v>11387.778866000002</v>
      </c>
      <c r="W5" s="3">
        <f t="shared" si="1"/>
        <v>11387.778866000002</v>
      </c>
      <c r="X5" s="3">
        <f t="shared" si="2"/>
        <v>0</v>
      </c>
    </row>
    <row r="6" spans="1:24">
      <c r="A6" s="1" t="s">
        <v>4</v>
      </c>
      <c r="B6">
        <v>377.30701999999997</v>
      </c>
      <c r="C6">
        <v>267.91249462799999</v>
      </c>
      <c r="D6">
        <v>0</v>
      </c>
      <c r="E6">
        <v>1064.7389166076</v>
      </c>
      <c r="F6">
        <v>15.583281999999999</v>
      </c>
      <c r="G6">
        <v>0</v>
      </c>
      <c r="H6">
        <v>0</v>
      </c>
      <c r="J6">
        <v>1666.9604613655999</v>
      </c>
      <c r="L6">
        <v>0.92067737760000001</v>
      </c>
      <c r="N6">
        <v>117.93104200000001</v>
      </c>
      <c r="O6">
        <v>1531.3298304804002</v>
      </c>
      <c r="P6">
        <v>39.259</v>
      </c>
      <c r="Q6">
        <v>705.83944110000004</v>
      </c>
      <c r="R6">
        <v>128.176489</v>
      </c>
      <c r="S6">
        <v>73.719240999999997</v>
      </c>
      <c r="T6">
        <v>34.519844999999819</v>
      </c>
      <c r="U6">
        <v>224.98098569789997</v>
      </c>
      <c r="V6" s="3">
        <f t="shared" si="0"/>
        <v>3124.5896799732</v>
      </c>
      <c r="W6" s="3">
        <f t="shared" si="1"/>
        <v>3124.5890462838997</v>
      </c>
      <c r="X6" s="3">
        <f t="shared" si="2"/>
        <v>6.3368930022988934E-4</v>
      </c>
    </row>
    <row r="7" spans="1:24">
      <c r="A7" s="2" t="s">
        <v>5</v>
      </c>
      <c r="B7">
        <v>220.42799300000001</v>
      </c>
      <c r="C7">
        <v>4674.1903060000004</v>
      </c>
      <c r="D7">
        <v>519.29244100000005</v>
      </c>
      <c r="E7">
        <v>1024.1701690000002</v>
      </c>
      <c r="F7">
        <v>85.793403000000012</v>
      </c>
      <c r="G7">
        <v>0</v>
      </c>
      <c r="H7">
        <v>615.08076600000004</v>
      </c>
      <c r="J7">
        <v>8887.9788369999987</v>
      </c>
      <c r="L7">
        <v>79.567657000000011</v>
      </c>
      <c r="N7">
        <v>138.89679100000001</v>
      </c>
      <c r="O7">
        <v>2516.4835290000005</v>
      </c>
      <c r="P7">
        <v>27.947599000000004</v>
      </c>
      <c r="Q7">
        <v>1278.7319540000001</v>
      </c>
      <c r="R7">
        <v>8.7425999999999995</v>
      </c>
      <c r="S7">
        <v>65.648119000000008</v>
      </c>
      <c r="T7">
        <v>1.4272580000000654</v>
      </c>
      <c r="U7">
        <v>292.36138199999999</v>
      </c>
      <c r="V7" s="3">
        <f t="shared" si="0"/>
        <v>10218.370401999999</v>
      </c>
      <c r="W7" s="3">
        <f t="shared" si="1"/>
        <v>10218.370401999997</v>
      </c>
      <c r="X7" s="3">
        <f t="shared" si="2"/>
        <v>0</v>
      </c>
    </row>
    <row r="8" spans="1:24">
      <c r="A8" s="1" t="s">
        <v>6</v>
      </c>
      <c r="B8">
        <v>30.500292999999989</v>
      </c>
      <c r="C8">
        <v>6</v>
      </c>
      <c r="D8">
        <v>1.298964</v>
      </c>
      <c r="E8">
        <v>281.16242899999997</v>
      </c>
      <c r="F8">
        <v>0.38256400000000002</v>
      </c>
      <c r="G8">
        <v>0</v>
      </c>
      <c r="H8">
        <v>-72.95214</v>
      </c>
      <c r="J8">
        <v>1134.1962210000002</v>
      </c>
      <c r="L8">
        <v>2.6580020000000002</v>
      </c>
      <c r="N8">
        <v>134.150598</v>
      </c>
      <c r="O8">
        <v>722.66898299999991</v>
      </c>
      <c r="P8">
        <v>33.254619000000005</v>
      </c>
      <c r="Q8">
        <v>294.61320699999999</v>
      </c>
      <c r="R8">
        <v>72.873845000000003</v>
      </c>
      <c r="S8">
        <v>131.844539</v>
      </c>
      <c r="T8">
        <v>87.857618999999943</v>
      </c>
      <c r="U8">
        <v>31.973271</v>
      </c>
      <c r="V8" s="3">
        <f t="shared" si="0"/>
        <v>1446.2415070000002</v>
      </c>
      <c r="W8" s="3">
        <f t="shared" si="1"/>
        <v>1446.2415069999997</v>
      </c>
      <c r="X8" s="3">
        <f t="shared" si="2"/>
        <v>0</v>
      </c>
    </row>
    <row r="9" spans="1:24">
      <c r="A9" s="1" t="s">
        <v>7</v>
      </c>
      <c r="B9">
        <v>51.71504699999997</v>
      </c>
      <c r="C9">
        <v>850.62897399999997</v>
      </c>
      <c r="D9">
        <v>0</v>
      </c>
      <c r="E9">
        <v>204.00112409999997</v>
      </c>
      <c r="F9">
        <v>0</v>
      </c>
      <c r="G9">
        <v>0</v>
      </c>
      <c r="H9">
        <v>44.324982000000006</v>
      </c>
      <c r="J9">
        <v>2535.4660599999997</v>
      </c>
      <c r="L9">
        <v>72.899449000000004</v>
      </c>
      <c r="N9">
        <v>238.62926700000003</v>
      </c>
      <c r="O9">
        <v>616.67907109999999</v>
      </c>
      <c r="P9">
        <v>0</v>
      </c>
      <c r="Q9">
        <v>413.1902</v>
      </c>
      <c r="R9">
        <v>270.28965900000003</v>
      </c>
      <c r="S9">
        <v>67.654972000000001</v>
      </c>
      <c r="T9">
        <v>188.88082199999997</v>
      </c>
      <c r="U9">
        <v>28.004835000000003</v>
      </c>
      <c r="V9" s="3">
        <f t="shared" si="0"/>
        <v>2791.1822310999996</v>
      </c>
      <c r="W9" s="3">
        <f t="shared" si="1"/>
        <v>2791.1822311000005</v>
      </c>
      <c r="X9" s="3">
        <f t="shared" si="2"/>
        <v>0</v>
      </c>
    </row>
    <row r="10" spans="1:24">
      <c r="A10" s="1" t="s">
        <v>8</v>
      </c>
      <c r="B10">
        <v>130.31987199999998</v>
      </c>
      <c r="C10">
        <v>4503.6966380000003</v>
      </c>
      <c r="D10">
        <v>209.39493400000001</v>
      </c>
      <c r="E10">
        <v>4955.4908396215569</v>
      </c>
      <c r="F10">
        <v>1296.0352660000001</v>
      </c>
      <c r="G10">
        <v>0</v>
      </c>
      <c r="H10">
        <v>49.624673999999999</v>
      </c>
      <c r="J10">
        <v>3091.169261</v>
      </c>
      <c r="L10">
        <v>121.85853800000001</v>
      </c>
      <c r="N10">
        <v>58.673309000000003</v>
      </c>
      <c r="O10">
        <v>1937.4705016915566</v>
      </c>
      <c r="P10">
        <v>111.94102000000001</v>
      </c>
      <c r="Q10">
        <v>1757.295926</v>
      </c>
      <c r="R10">
        <v>163.02084000000002</v>
      </c>
      <c r="S10">
        <v>234.56631200000001</v>
      </c>
      <c r="T10">
        <v>179.25022293000018</v>
      </c>
      <c r="U10">
        <v>146.22232299999999</v>
      </c>
      <c r="V10" s="3">
        <f t="shared" si="0"/>
        <v>9473.0152386215577</v>
      </c>
      <c r="W10" s="3">
        <f t="shared" si="1"/>
        <v>9473.0152386215559</v>
      </c>
      <c r="X10" s="3">
        <f t="shared" si="2"/>
        <v>0</v>
      </c>
    </row>
    <row r="11" spans="1:24">
      <c r="A11" s="1" t="s">
        <v>9</v>
      </c>
      <c r="B11">
        <v>159.88143599999998</v>
      </c>
      <c r="C11">
        <v>1181.4371169999999</v>
      </c>
      <c r="D11">
        <v>23.260961000000002</v>
      </c>
      <c r="E11">
        <v>1770.5519940000001</v>
      </c>
      <c r="F11">
        <v>51.056632</v>
      </c>
      <c r="G11">
        <v>0</v>
      </c>
      <c r="H11">
        <v>0.23313600000000001</v>
      </c>
      <c r="J11">
        <v>4198.3530590000009</v>
      </c>
      <c r="L11">
        <v>16.92379</v>
      </c>
      <c r="N11">
        <v>206.66900800000002</v>
      </c>
      <c r="O11">
        <v>3278.1037000000006</v>
      </c>
      <c r="P11">
        <v>147.140356</v>
      </c>
      <c r="Q11">
        <v>952.29018400000007</v>
      </c>
      <c r="R11">
        <v>10.288842000000001</v>
      </c>
      <c r="S11">
        <v>20.957252</v>
      </c>
      <c r="T11">
        <v>183.82680499999995</v>
      </c>
      <c r="U11">
        <v>158.71197000000001</v>
      </c>
      <c r="V11" s="3">
        <f t="shared" si="0"/>
        <v>6179.8431210000008</v>
      </c>
      <c r="W11" s="3">
        <f t="shared" si="1"/>
        <v>6179.8431209999999</v>
      </c>
      <c r="X11" s="3">
        <f t="shared" si="2"/>
        <v>0</v>
      </c>
    </row>
    <row r="12" spans="1:24">
      <c r="A12" s="1" t="s">
        <v>10</v>
      </c>
      <c r="B12">
        <v>167.93511373999996</v>
      </c>
      <c r="C12">
        <v>2946.4288321900003</v>
      </c>
      <c r="D12">
        <v>93.027979400000007</v>
      </c>
      <c r="E12">
        <v>2591.2210553200002</v>
      </c>
      <c r="F12">
        <v>121.62887721000003</v>
      </c>
      <c r="G12">
        <v>0</v>
      </c>
      <c r="H12">
        <v>0</v>
      </c>
      <c r="J12">
        <v>3170.3902802700004</v>
      </c>
      <c r="L12">
        <v>82.15038546000001</v>
      </c>
      <c r="N12">
        <v>295.27927229000005</v>
      </c>
      <c r="O12">
        <v>1113.05166583</v>
      </c>
      <c r="P12">
        <v>150.33870000000002</v>
      </c>
      <c r="Q12">
        <v>900.62367798000002</v>
      </c>
      <c r="R12">
        <v>43.799100000000003</v>
      </c>
      <c r="S12">
        <v>67.42710000000001</v>
      </c>
      <c r="T12">
        <v>149.91120000000001</v>
      </c>
      <c r="U12">
        <v>209.13741339000001</v>
      </c>
      <c r="V12" s="3">
        <f t="shared" si="0"/>
        <v>6051.1753265400002</v>
      </c>
      <c r="W12" s="3">
        <f t="shared" si="1"/>
        <v>6051.1753265399993</v>
      </c>
      <c r="X12" s="3">
        <f t="shared" si="2"/>
        <v>0</v>
      </c>
    </row>
    <row r="13" spans="1:24">
      <c r="A13" s="1" t="s">
        <v>11</v>
      </c>
      <c r="B13">
        <v>157.78866999999997</v>
      </c>
      <c r="C13">
        <v>218.39670842277701</v>
      </c>
      <c r="D13">
        <v>0</v>
      </c>
      <c r="E13">
        <v>467.54443846048241</v>
      </c>
      <c r="F13">
        <v>6.7557740000000006</v>
      </c>
      <c r="G13">
        <v>0</v>
      </c>
      <c r="H13">
        <v>-32.620200000000004</v>
      </c>
      <c r="J13">
        <v>1212.377886</v>
      </c>
      <c r="L13">
        <v>5.8284000000000002E-2</v>
      </c>
      <c r="N13">
        <v>93.356705000000005</v>
      </c>
      <c r="O13">
        <v>1026.1970815325337</v>
      </c>
      <c r="P13">
        <v>21.97805</v>
      </c>
      <c r="Q13">
        <v>375.22014200000001</v>
      </c>
      <c r="R13">
        <v>2.1856499999999999</v>
      </c>
      <c r="S13">
        <v>0</v>
      </c>
      <c r="T13">
        <v>13.242600000000021</v>
      </c>
      <c r="U13">
        <v>126.451846</v>
      </c>
      <c r="V13" s="3">
        <f t="shared" si="0"/>
        <v>1844.4667684604822</v>
      </c>
      <c r="W13" s="3">
        <f t="shared" si="1"/>
        <v>1844.4668669553109</v>
      </c>
      <c r="X13" s="3">
        <f t="shared" si="2"/>
        <v>-9.8494828762341058E-5</v>
      </c>
    </row>
    <row r="14" spans="1:24">
      <c r="A14" s="1" t="s">
        <v>12</v>
      </c>
      <c r="B14">
        <v>24.836739000000009</v>
      </c>
      <c r="C14">
        <v>15.076128000000001</v>
      </c>
      <c r="D14">
        <v>0</v>
      </c>
      <c r="E14">
        <v>1225.4007980000001</v>
      </c>
      <c r="F14">
        <v>0</v>
      </c>
      <c r="G14">
        <v>0</v>
      </c>
      <c r="H14">
        <v>0</v>
      </c>
      <c r="J14">
        <v>560.66733199999999</v>
      </c>
      <c r="L14">
        <v>5.4180270000000004</v>
      </c>
      <c r="N14">
        <v>208.92982500000002</v>
      </c>
      <c r="O14">
        <v>878.32710100000008</v>
      </c>
      <c r="P14">
        <v>23.75356</v>
      </c>
      <c r="Q14">
        <v>449.77364499999999</v>
      </c>
      <c r="R14">
        <v>39.808512999999998</v>
      </c>
      <c r="S14">
        <v>126.195612</v>
      </c>
      <c r="T14">
        <v>45.176716000000006</v>
      </c>
      <c r="U14">
        <v>18.445741999999999</v>
      </c>
      <c r="V14" s="3">
        <f t="shared" si="0"/>
        <v>1810.904869</v>
      </c>
      <c r="W14" s="3">
        <f t="shared" si="1"/>
        <v>1810.904869</v>
      </c>
      <c r="X14" s="3">
        <f t="shared" si="2"/>
        <v>0</v>
      </c>
    </row>
    <row r="15" spans="1:24">
      <c r="A15" s="1" t="s">
        <v>13</v>
      </c>
      <c r="B15">
        <v>48.657988000000046</v>
      </c>
      <c r="C15">
        <v>492.70212800000007</v>
      </c>
      <c r="D15">
        <v>0</v>
      </c>
      <c r="E15">
        <v>737.91509500000006</v>
      </c>
      <c r="F15">
        <v>0</v>
      </c>
      <c r="G15">
        <v>0</v>
      </c>
      <c r="H15">
        <v>-97.858835999999997</v>
      </c>
      <c r="J15">
        <v>944.3710779999999</v>
      </c>
      <c r="L15">
        <v>4.8868799999999997</v>
      </c>
      <c r="N15">
        <v>90.411699999999996</v>
      </c>
      <c r="O15">
        <v>754.31749900000011</v>
      </c>
      <c r="P15">
        <v>19.304647000000003</v>
      </c>
      <c r="Q15">
        <v>332.425544</v>
      </c>
      <c r="R15">
        <v>10.127028000000001</v>
      </c>
      <c r="S15">
        <v>29.549473000000003</v>
      </c>
      <c r="T15">
        <v>31.440000000000055</v>
      </c>
      <c r="U15">
        <v>63.638097999999999</v>
      </c>
      <c r="V15" s="3">
        <f t="shared" si="0"/>
        <v>1730.9441609999999</v>
      </c>
      <c r="W15" s="3">
        <f t="shared" si="1"/>
        <v>1730.9441610000001</v>
      </c>
      <c r="X15" s="3">
        <f t="shared" si="2"/>
        <v>0</v>
      </c>
    </row>
    <row r="16" spans="1:24">
      <c r="A16" s="1" t="s">
        <v>14</v>
      </c>
      <c r="B16">
        <v>535.02662099999986</v>
      </c>
      <c r="C16">
        <v>1823.6420249082992</v>
      </c>
      <c r="D16">
        <v>0</v>
      </c>
      <c r="E16">
        <v>738.00681961099997</v>
      </c>
      <c r="F16">
        <v>0</v>
      </c>
      <c r="G16">
        <v>0</v>
      </c>
      <c r="H16">
        <v>0</v>
      </c>
      <c r="J16">
        <v>7694.5703665051997</v>
      </c>
      <c r="L16">
        <v>60.796586955900011</v>
      </c>
      <c r="N16">
        <v>409.43682000000001</v>
      </c>
      <c r="O16">
        <v>3662.8802455037999</v>
      </c>
      <c r="P16">
        <v>454.7346</v>
      </c>
      <c r="Q16">
        <v>1888.5071560000001</v>
      </c>
      <c r="R16">
        <v>159.03446000000002</v>
      </c>
      <c r="S16">
        <v>188.40362999999999</v>
      </c>
      <c r="T16">
        <v>24.571131400000539</v>
      </c>
      <c r="U16">
        <v>295.59715234819998</v>
      </c>
      <c r="V16" s="3">
        <f t="shared" si="0"/>
        <v>8967.6038071162002</v>
      </c>
      <c r="W16" s="3">
        <f t="shared" si="1"/>
        <v>8967.6038071162002</v>
      </c>
      <c r="X16" s="3">
        <f t="shared" si="2"/>
        <v>0</v>
      </c>
    </row>
    <row r="17" spans="1:24">
      <c r="A17" s="1" t="s">
        <v>15</v>
      </c>
      <c r="B17">
        <v>164.98962499999993</v>
      </c>
      <c r="C17">
        <v>924.68917899999985</v>
      </c>
      <c r="D17">
        <v>0</v>
      </c>
      <c r="E17">
        <v>793.21686799999998</v>
      </c>
      <c r="F17">
        <v>0</v>
      </c>
      <c r="G17">
        <v>0</v>
      </c>
      <c r="H17">
        <v>0</v>
      </c>
      <c r="J17">
        <v>2869.0217120000002</v>
      </c>
      <c r="L17">
        <v>7.181616</v>
      </c>
      <c r="N17">
        <v>149.32198199999999</v>
      </c>
      <c r="O17">
        <v>1871.8357640000002</v>
      </c>
      <c r="P17">
        <v>40.613900000000001</v>
      </c>
      <c r="Q17">
        <v>620.68737400000009</v>
      </c>
      <c r="R17">
        <v>17.982991999999999</v>
      </c>
      <c r="S17">
        <v>20.542400000000001</v>
      </c>
      <c r="T17">
        <v>5.4821730000000262</v>
      </c>
      <c r="U17">
        <v>168.89082500000001</v>
      </c>
      <c r="V17" s="3">
        <f t="shared" si="0"/>
        <v>3827.2282049999999</v>
      </c>
      <c r="W17" s="3">
        <f t="shared" si="1"/>
        <v>3827.2282050000017</v>
      </c>
      <c r="X17" s="3">
        <f t="shared" si="2"/>
        <v>0</v>
      </c>
    </row>
    <row r="18" spans="1:24">
      <c r="A18" s="1" t="s">
        <v>16</v>
      </c>
      <c r="B18">
        <v>136.95167999999998</v>
      </c>
      <c r="C18">
        <v>0</v>
      </c>
      <c r="D18">
        <v>0</v>
      </c>
      <c r="E18">
        <v>1155.3533130000001</v>
      </c>
      <c r="F18">
        <v>0</v>
      </c>
      <c r="G18">
        <v>0</v>
      </c>
      <c r="H18">
        <v>0</v>
      </c>
      <c r="J18">
        <v>1826.7283339999999</v>
      </c>
      <c r="L18">
        <v>24.530222000000002</v>
      </c>
      <c r="N18">
        <v>220.60204900000002</v>
      </c>
      <c r="O18">
        <v>1468.1359420000001</v>
      </c>
      <c r="P18">
        <v>90.050795999999991</v>
      </c>
      <c r="Q18">
        <v>952.34559100000001</v>
      </c>
      <c r="R18">
        <v>62.686458000000002</v>
      </c>
      <c r="S18">
        <v>86.812600000000003</v>
      </c>
      <c r="T18">
        <v>106.69681399999995</v>
      </c>
      <c r="U18">
        <v>107.17285500000003</v>
      </c>
      <c r="V18" s="3">
        <f t="shared" si="0"/>
        <v>3119.0333270000001</v>
      </c>
      <c r="W18" s="3">
        <f t="shared" si="1"/>
        <v>3119.0333269999996</v>
      </c>
      <c r="X18" s="3">
        <f t="shared" si="2"/>
        <v>0</v>
      </c>
    </row>
    <row r="19" spans="1:24">
      <c r="A19" s="1" t="s">
        <v>17</v>
      </c>
      <c r="B19">
        <v>74.968932999999993</v>
      </c>
      <c r="C19">
        <v>298.20215700000006</v>
      </c>
      <c r="D19">
        <v>0</v>
      </c>
      <c r="E19">
        <v>1189.0700489999999</v>
      </c>
      <c r="F19">
        <v>0</v>
      </c>
      <c r="G19">
        <v>0</v>
      </c>
      <c r="H19">
        <v>189.78241800000001</v>
      </c>
      <c r="J19">
        <v>1208.735304</v>
      </c>
      <c r="L19">
        <v>15.419876000000002</v>
      </c>
      <c r="N19">
        <v>22.147759000000001</v>
      </c>
      <c r="O19">
        <v>985.7143719999998</v>
      </c>
      <c r="P19">
        <v>92.661940000000016</v>
      </c>
      <c r="Q19">
        <v>660.59917400000006</v>
      </c>
      <c r="R19">
        <v>111.727784</v>
      </c>
      <c r="S19">
        <v>2.6640769999999998</v>
      </c>
      <c r="T19">
        <v>19.746187999999886</v>
      </c>
      <c r="U19">
        <v>74.108541000000017</v>
      </c>
      <c r="V19" s="3">
        <f t="shared" si="0"/>
        <v>2472.7742859999998</v>
      </c>
      <c r="W19" s="3">
        <f t="shared" si="1"/>
        <v>2472.7742859999998</v>
      </c>
      <c r="X19" s="3">
        <f t="shared" si="2"/>
        <v>0</v>
      </c>
    </row>
    <row r="20" spans="1:24">
      <c r="A20" s="1" t="s">
        <v>18</v>
      </c>
      <c r="B20">
        <v>340.0930179999998</v>
      </c>
      <c r="C20">
        <v>2535.9724817708875</v>
      </c>
      <c r="D20">
        <v>324.18215299999997</v>
      </c>
      <c r="E20">
        <v>4787.5814100092721</v>
      </c>
      <c r="F20">
        <v>1229.3053320000001</v>
      </c>
      <c r="G20">
        <v>0</v>
      </c>
      <c r="H20">
        <v>17.048070000000003</v>
      </c>
      <c r="J20">
        <v>3942.2650120000003</v>
      </c>
      <c r="L20">
        <v>814.99196500000005</v>
      </c>
      <c r="N20">
        <v>145.15846500000001</v>
      </c>
      <c r="O20">
        <v>3389.5243483314962</v>
      </c>
      <c r="P20">
        <v>78.956077999999991</v>
      </c>
      <c r="Q20">
        <v>1995.5482900000002</v>
      </c>
      <c r="R20">
        <v>248.51701000000003</v>
      </c>
      <c r="S20">
        <v>79.56528200000001</v>
      </c>
      <c r="T20">
        <v>293.21372100000008</v>
      </c>
      <c r="U20">
        <v>376.56523500000003</v>
      </c>
      <c r="V20" s="3">
        <f t="shared" si="0"/>
        <v>10299.244772009271</v>
      </c>
      <c r="W20" s="3">
        <f t="shared" si="1"/>
        <v>10299.243099102383</v>
      </c>
      <c r="X20" s="3">
        <f t="shared" si="2"/>
        <v>1.672906888416037E-3</v>
      </c>
    </row>
    <row r="21" spans="1:24">
      <c r="A21" s="1" t="s">
        <v>19</v>
      </c>
      <c r="B21">
        <v>59.940373539199982</v>
      </c>
      <c r="C21">
        <v>93.554497999999995</v>
      </c>
      <c r="D21">
        <v>7.7226299999999997</v>
      </c>
      <c r="E21">
        <v>1039.3622354408001</v>
      </c>
      <c r="F21">
        <v>0</v>
      </c>
      <c r="G21">
        <v>0</v>
      </c>
      <c r="H21">
        <v>0</v>
      </c>
      <c r="J21">
        <v>460.17412200000001</v>
      </c>
      <c r="L21">
        <v>5.3825279400000001</v>
      </c>
      <c r="N21">
        <v>30.717918000000001</v>
      </c>
      <c r="O21">
        <v>600.71783100000016</v>
      </c>
      <c r="P21">
        <v>27.976838999999998</v>
      </c>
      <c r="Q21">
        <v>553.65212199999996</v>
      </c>
      <c r="R21">
        <v>32.833198199999998</v>
      </c>
      <c r="S21">
        <v>57.405675000000002</v>
      </c>
      <c r="T21">
        <v>92.418633999999983</v>
      </c>
      <c r="U21">
        <v>57.094857840000003</v>
      </c>
      <c r="V21" s="3">
        <f t="shared" si="0"/>
        <v>1559.47673098</v>
      </c>
      <c r="W21" s="3">
        <f t="shared" si="1"/>
        <v>1559.47673098</v>
      </c>
      <c r="X21" s="3">
        <f t="shared" si="2"/>
        <v>0</v>
      </c>
    </row>
    <row r="22" spans="1:24">
      <c r="A22" s="1" t="s">
        <v>20</v>
      </c>
      <c r="B22">
        <v>-7.9269257824421433E-15</v>
      </c>
      <c r="C22">
        <v>936.52211999999997</v>
      </c>
      <c r="D22">
        <v>112.83125</v>
      </c>
      <c r="E22">
        <v>164.13706300000001</v>
      </c>
      <c r="F22">
        <v>205.33003800000003</v>
      </c>
      <c r="G22">
        <v>0</v>
      </c>
      <c r="H22">
        <v>0</v>
      </c>
      <c r="J22">
        <v>1048.065378</v>
      </c>
      <c r="L22">
        <v>2.9445900000000003</v>
      </c>
      <c r="N22">
        <v>36.910390000000007</v>
      </c>
      <c r="O22">
        <v>100.40146800000001</v>
      </c>
      <c r="P22">
        <v>11.265430000000002</v>
      </c>
      <c r="Q22">
        <v>160.08946000000003</v>
      </c>
      <c r="R22">
        <v>10.496915000000001</v>
      </c>
      <c r="S22">
        <v>19.092449999999999</v>
      </c>
      <c r="T22">
        <v>11.165499999999991</v>
      </c>
      <c r="U22">
        <v>15.812786000000001</v>
      </c>
      <c r="V22" s="3">
        <f t="shared" si="0"/>
        <v>1417.532479</v>
      </c>
      <c r="W22" s="3">
        <f t="shared" si="1"/>
        <v>1417.532359</v>
      </c>
      <c r="X22" s="3">
        <f t="shared" si="2"/>
        <v>1.199999999244028E-4</v>
      </c>
    </row>
    <row r="23" spans="1:24">
      <c r="A23" s="1" t="s">
        <v>21</v>
      </c>
      <c r="B23">
        <v>35.599978</v>
      </c>
      <c r="C23">
        <v>0</v>
      </c>
      <c r="D23">
        <v>0</v>
      </c>
      <c r="E23">
        <v>548.18186500000002</v>
      </c>
      <c r="F23">
        <v>0</v>
      </c>
      <c r="G23">
        <v>0</v>
      </c>
      <c r="H23">
        <v>0</v>
      </c>
      <c r="J23">
        <v>287.44334400000002</v>
      </c>
      <c r="L23">
        <v>3.7412210000000004</v>
      </c>
      <c r="N23">
        <v>39.562046000000002</v>
      </c>
      <c r="O23">
        <v>355.78010299999994</v>
      </c>
      <c r="P23">
        <v>22.766106000000001</v>
      </c>
      <c r="Q23">
        <v>397.63350100000002</v>
      </c>
      <c r="R23">
        <v>18.419166000000001</v>
      </c>
      <c r="S23">
        <v>10.190652999999999</v>
      </c>
      <c r="T23">
        <v>9.4151990000000261</v>
      </c>
      <c r="U23">
        <v>13.717192000000002</v>
      </c>
      <c r="V23" s="3">
        <f t="shared" si="0"/>
        <v>871.22518700000001</v>
      </c>
      <c r="W23" s="3">
        <f t="shared" si="1"/>
        <v>871.22518700000001</v>
      </c>
      <c r="X23" s="3">
        <f t="shared" si="2"/>
        <v>0</v>
      </c>
    </row>
    <row r="24" spans="1:24">
      <c r="A24" s="1" t="s">
        <v>22</v>
      </c>
      <c r="B24">
        <v>2.9333958526112094E-14</v>
      </c>
      <c r="C24">
        <v>26.923905999999999</v>
      </c>
      <c r="D24">
        <v>2.7220900000000001</v>
      </c>
      <c r="E24">
        <v>1212.3140959999998</v>
      </c>
      <c r="F24">
        <v>10.535224000000001</v>
      </c>
      <c r="G24">
        <v>0</v>
      </c>
      <c r="H24">
        <v>0</v>
      </c>
      <c r="J24">
        <v>1318.4872480000004</v>
      </c>
      <c r="L24">
        <v>3.0452040000000005</v>
      </c>
      <c r="N24">
        <v>156.50490500000001</v>
      </c>
      <c r="O24">
        <v>1304.8488510000002</v>
      </c>
      <c r="P24">
        <v>79.143172000000007</v>
      </c>
      <c r="Q24">
        <v>732.33807200000001</v>
      </c>
      <c r="R24">
        <v>99.192365999999993</v>
      </c>
      <c r="S24">
        <v>102.84575800000002</v>
      </c>
      <c r="T24">
        <v>16.724321000000234</v>
      </c>
      <c r="U24">
        <v>17.047923000000004</v>
      </c>
      <c r="V24" s="3">
        <f t="shared" si="0"/>
        <v>2541.3365680000006</v>
      </c>
      <c r="W24" s="3">
        <f t="shared" si="1"/>
        <v>2541.3365680000006</v>
      </c>
      <c r="X24" s="3">
        <f t="shared" si="2"/>
        <v>0</v>
      </c>
    </row>
    <row r="25" spans="1:24">
      <c r="A25" s="1" t="s">
        <v>23</v>
      </c>
      <c r="B25">
        <v>43.121290999999971</v>
      </c>
      <c r="C25">
        <v>337.692612</v>
      </c>
      <c r="D25">
        <v>0</v>
      </c>
      <c r="E25">
        <v>507.57073199999996</v>
      </c>
      <c r="F25">
        <v>0</v>
      </c>
      <c r="G25">
        <v>0</v>
      </c>
      <c r="H25">
        <v>0</v>
      </c>
      <c r="J25">
        <v>817.99185599999998</v>
      </c>
      <c r="L25">
        <v>0</v>
      </c>
      <c r="N25">
        <v>41.823375999999996</v>
      </c>
      <c r="O25">
        <v>549.92072799999994</v>
      </c>
      <c r="P25">
        <v>14.346458999999999</v>
      </c>
      <c r="Q25">
        <v>297.55584000000005</v>
      </c>
      <c r="R25">
        <v>17.877962</v>
      </c>
      <c r="S25">
        <v>67.034200999999996</v>
      </c>
      <c r="T25">
        <v>2.3285099999999779</v>
      </c>
      <c r="U25">
        <v>40.104191</v>
      </c>
      <c r="V25" s="3">
        <f t="shared" si="0"/>
        <v>1368.6838789999999</v>
      </c>
      <c r="W25" s="3">
        <f t="shared" si="1"/>
        <v>1368.6838789999997</v>
      </c>
      <c r="X25" s="3">
        <f t="shared" si="2"/>
        <v>0</v>
      </c>
    </row>
    <row r="26" spans="1:24">
      <c r="A26" s="1" t="s">
        <v>24</v>
      </c>
      <c r="B26">
        <v>128.61232845000004</v>
      </c>
      <c r="C26">
        <v>121.805517494</v>
      </c>
      <c r="D26">
        <v>0.51498999999999995</v>
      </c>
      <c r="E26">
        <v>1164.8733818677026</v>
      </c>
      <c r="F26">
        <v>0.51498999999999995</v>
      </c>
      <c r="G26">
        <v>0</v>
      </c>
      <c r="H26">
        <v>90.532634340000001</v>
      </c>
      <c r="J26">
        <v>1203.1481124000002</v>
      </c>
      <c r="L26">
        <v>5.4251854595999998</v>
      </c>
      <c r="N26">
        <v>34.041915799999998</v>
      </c>
      <c r="O26">
        <v>1314.7557397941025</v>
      </c>
      <c r="P26">
        <v>32.738604039999998</v>
      </c>
      <c r="Q26">
        <v>607.4299287</v>
      </c>
      <c r="R26">
        <v>22.797665290000001</v>
      </c>
      <c r="S26">
        <v>20.998673500000002</v>
      </c>
      <c r="T26">
        <v>86.946073000000169</v>
      </c>
      <c r="U26">
        <v>159.16265100000004</v>
      </c>
      <c r="V26" s="3">
        <f t="shared" si="0"/>
        <v>2497.1488127177031</v>
      </c>
      <c r="W26" s="3">
        <f t="shared" si="1"/>
        <v>2497.1495784177032</v>
      </c>
      <c r="X26" s="3">
        <f t="shared" si="2"/>
        <v>-7.6570000010178774E-4</v>
      </c>
    </row>
    <row r="27" spans="1:24">
      <c r="A27" s="1" t="s">
        <v>25</v>
      </c>
      <c r="B27">
        <v>117.94185199999997</v>
      </c>
      <c r="C27">
        <v>409.58705700000002</v>
      </c>
      <c r="D27">
        <v>481.59479399999998</v>
      </c>
      <c r="E27">
        <v>0.37200000000000005</v>
      </c>
      <c r="F27">
        <v>1.1624060000000001</v>
      </c>
      <c r="G27">
        <v>0</v>
      </c>
      <c r="H27">
        <v>0</v>
      </c>
      <c r="J27">
        <v>3246.4144220000003</v>
      </c>
      <c r="L27">
        <v>1.8068050000000004</v>
      </c>
      <c r="N27">
        <v>48.773787999999996</v>
      </c>
      <c r="O27">
        <v>491.045863</v>
      </c>
      <c r="P27">
        <v>22.643830000000005</v>
      </c>
      <c r="Q27">
        <v>449.00325400000003</v>
      </c>
      <c r="R27">
        <v>63.012800000000006</v>
      </c>
      <c r="S27">
        <v>26.271467000000001</v>
      </c>
      <c r="T27">
        <v>139.71149999999997</v>
      </c>
      <c r="U27">
        <v>1232.4395219999999</v>
      </c>
      <c r="V27" s="3">
        <f t="shared" si="0"/>
        <v>3365.89068</v>
      </c>
      <c r="W27" s="3">
        <f t="shared" si="1"/>
        <v>3365.89068</v>
      </c>
      <c r="X27" s="3">
        <f t="shared" si="2"/>
        <v>0</v>
      </c>
    </row>
    <row r="28" spans="1:24">
      <c r="A28" s="1" t="s">
        <v>26</v>
      </c>
      <c r="B28">
        <v>125.79448000000006</v>
      </c>
      <c r="C28">
        <v>1060.7935710000002</v>
      </c>
      <c r="D28">
        <v>234.416</v>
      </c>
      <c r="E28">
        <v>204.50884200000002</v>
      </c>
      <c r="F28">
        <v>0</v>
      </c>
      <c r="G28">
        <v>0</v>
      </c>
      <c r="H28">
        <v>0.34970400000000001</v>
      </c>
      <c r="J28">
        <v>2126.1264530000003</v>
      </c>
      <c r="L28">
        <v>7.3658399999999995</v>
      </c>
      <c r="N28">
        <v>40.204294000000004</v>
      </c>
      <c r="O28">
        <v>731.88594100000023</v>
      </c>
      <c r="P28">
        <v>28.265048000000004</v>
      </c>
      <c r="Q28">
        <v>186.60413500000001</v>
      </c>
      <c r="R28">
        <v>6.9767109999999999</v>
      </c>
      <c r="S28">
        <v>10.473637999999999</v>
      </c>
      <c r="T28">
        <v>2.9380809999999831</v>
      </c>
      <c r="U28">
        <v>146.156812</v>
      </c>
      <c r="V28" s="3">
        <f t="shared" si="0"/>
        <v>2456.4297750000005</v>
      </c>
      <c r="W28" s="3">
        <f t="shared" si="1"/>
        <v>2456.429775000001</v>
      </c>
      <c r="X28" s="3">
        <f t="shared" si="2"/>
        <v>0</v>
      </c>
    </row>
    <row r="29" spans="1:24">
      <c r="A29" s="1" t="s">
        <v>27</v>
      </c>
      <c r="B29">
        <v>21.139322999999994</v>
      </c>
      <c r="C29">
        <v>31.959438180000003</v>
      </c>
      <c r="D29">
        <v>-1.4714000000000002E-5</v>
      </c>
      <c r="E29">
        <v>58.3204038708</v>
      </c>
      <c r="F29">
        <v>0</v>
      </c>
      <c r="G29">
        <v>-1.2E-5</v>
      </c>
      <c r="H29">
        <v>0</v>
      </c>
      <c r="J29">
        <v>207.61176282999998</v>
      </c>
      <c r="L29">
        <v>0.66508849199999998</v>
      </c>
      <c r="N29">
        <v>4.2548900000000005</v>
      </c>
      <c r="O29">
        <v>151.04167100000001</v>
      </c>
      <c r="P29">
        <v>6.9198249999999994</v>
      </c>
      <c r="Q29">
        <v>55.801902971400011</v>
      </c>
      <c r="R29">
        <v>3.5780609999999999</v>
      </c>
      <c r="S29">
        <v>10.310623</v>
      </c>
      <c r="T29">
        <v>0.95511997139998916</v>
      </c>
      <c r="U29">
        <v>21.584896799999996</v>
      </c>
      <c r="V29" s="3">
        <f t="shared" si="0"/>
        <v>287.07148970079999</v>
      </c>
      <c r="W29" s="3">
        <f t="shared" si="1"/>
        <v>287.07148970080004</v>
      </c>
      <c r="X29" s="3">
        <f t="shared" si="2"/>
        <v>0</v>
      </c>
    </row>
    <row r="30" spans="1:24">
      <c r="A30" s="1" t="s">
        <v>28</v>
      </c>
      <c r="B30">
        <v>35.326894999999993</v>
      </c>
      <c r="C30">
        <v>216.042146</v>
      </c>
      <c r="D30">
        <v>0</v>
      </c>
      <c r="E30">
        <v>56.594183999999998</v>
      </c>
      <c r="F30">
        <v>0</v>
      </c>
      <c r="G30">
        <v>0</v>
      </c>
      <c r="H30">
        <v>0</v>
      </c>
      <c r="J30">
        <v>430.07977900000003</v>
      </c>
      <c r="L30">
        <v>0</v>
      </c>
      <c r="N30">
        <v>8.0312099999999997</v>
      </c>
      <c r="O30">
        <v>125.072923</v>
      </c>
      <c r="P30">
        <v>5.12845</v>
      </c>
      <c r="Q30">
        <v>115.430611</v>
      </c>
      <c r="R30">
        <v>7.3284000000000002</v>
      </c>
      <c r="S30">
        <v>7.3284000000000002</v>
      </c>
      <c r="T30">
        <v>1.9716760000000204</v>
      </c>
      <c r="U30">
        <v>35.667041999999995</v>
      </c>
      <c r="V30" s="3">
        <f t="shared" si="0"/>
        <v>522.00085799999999</v>
      </c>
      <c r="W30" s="3">
        <f t="shared" si="1"/>
        <v>522.00085799999999</v>
      </c>
      <c r="X30" s="3">
        <f t="shared" si="2"/>
        <v>0</v>
      </c>
    </row>
    <row r="31" spans="1:24">
      <c r="A31" s="1" t="s">
        <v>29</v>
      </c>
      <c r="B31">
        <v>90.738510000000048</v>
      </c>
      <c r="C31">
        <v>1200.2443679999999</v>
      </c>
      <c r="D31">
        <v>55.351542999999999</v>
      </c>
      <c r="E31">
        <v>48.894475000000007</v>
      </c>
      <c r="F31">
        <v>10.444292000000001</v>
      </c>
      <c r="G31">
        <v>0</v>
      </c>
      <c r="H31">
        <v>0</v>
      </c>
      <c r="J31">
        <v>2569.3993540000001</v>
      </c>
      <c r="L31">
        <v>56.531775000000003</v>
      </c>
      <c r="N31">
        <v>105.31679400000002</v>
      </c>
      <c r="O31">
        <v>645.40687800000001</v>
      </c>
      <c r="P31">
        <v>28.189390000000003</v>
      </c>
      <c r="Q31">
        <v>377.37974200000002</v>
      </c>
      <c r="R31">
        <v>49.193571999999996</v>
      </c>
      <c r="S31">
        <v>67.698310000000006</v>
      </c>
      <c r="T31">
        <v>23.574600000000036</v>
      </c>
      <c r="U31">
        <v>110.589659</v>
      </c>
      <c r="V31" s="3">
        <f t="shared" si="0"/>
        <v>2719.4766310000005</v>
      </c>
      <c r="W31" s="3">
        <f t="shared" si="1"/>
        <v>2719.4766310000005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3"/>
  <sheetViews>
    <sheetView zoomScale="70" zoomScaleNormal="70" workbookViewId="0">
      <selection activeCell="G28" sqref="G28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0</v>
      </c>
      <c r="C2">
        <v>0</v>
      </c>
      <c r="D2">
        <v>0</v>
      </c>
      <c r="E2">
        <v>62.031200000000005</v>
      </c>
      <c r="F2">
        <v>0</v>
      </c>
      <c r="G2">
        <v>0</v>
      </c>
      <c r="H2">
        <v>0</v>
      </c>
      <c r="J2">
        <v>0</v>
      </c>
      <c r="L2">
        <v>11.344900000000003</v>
      </c>
      <c r="N2">
        <v>0</v>
      </c>
      <c r="O2">
        <v>7.1288000000000009</v>
      </c>
      <c r="P2">
        <v>0.46549999999999997</v>
      </c>
      <c r="Q2">
        <v>2.8462000000000005</v>
      </c>
      <c r="R2">
        <v>7.4347000000000003</v>
      </c>
      <c r="S2">
        <v>17.502800000000001</v>
      </c>
      <c r="T2">
        <v>15.308299999999997</v>
      </c>
      <c r="U2">
        <v>0</v>
      </c>
      <c r="V2" s="3">
        <f>B2+K2+E2+F2</f>
        <v>62.031200000000005</v>
      </c>
      <c r="W2" s="3">
        <f>C2+D2+SUM(G2:U2)-K2</f>
        <v>62.031199999999998</v>
      </c>
      <c r="X2" s="3">
        <f>V2-W2</f>
        <v>0</v>
      </c>
    </row>
    <row r="3" spans="1:24">
      <c r="A3" s="1" t="s">
        <v>1</v>
      </c>
      <c r="B3">
        <v>17.7422</v>
      </c>
      <c r="C3">
        <v>12.5419</v>
      </c>
      <c r="D3">
        <v>0</v>
      </c>
      <c r="E3">
        <v>13.7788</v>
      </c>
      <c r="F3">
        <v>0</v>
      </c>
      <c r="G3">
        <v>0</v>
      </c>
      <c r="H3">
        <v>0</v>
      </c>
      <c r="J3">
        <v>0</v>
      </c>
      <c r="L3">
        <v>1.0108000000000001</v>
      </c>
      <c r="N3">
        <v>0</v>
      </c>
      <c r="O3">
        <v>9.2035999999999998</v>
      </c>
      <c r="P3">
        <v>0</v>
      </c>
      <c r="Q3">
        <v>0</v>
      </c>
      <c r="R3">
        <v>3.4846000000000004</v>
      </c>
      <c r="S3">
        <v>9.3100000000000016E-2</v>
      </c>
      <c r="T3">
        <v>5.1870000000000003</v>
      </c>
      <c r="U3">
        <v>0</v>
      </c>
      <c r="V3" s="3">
        <f t="shared" ref="V3:V31" si="0">B3+G3+E3+F3</f>
        <v>31.521000000000001</v>
      </c>
      <c r="W3" s="3">
        <f t="shared" ref="W3:W31" si="1">C3+D3+SUM(H3:U3)</f>
        <v>31.521000000000001</v>
      </c>
      <c r="X3" s="3">
        <f t="shared" ref="X3:X31" si="2">V3-W3</f>
        <v>0</v>
      </c>
    </row>
    <row r="4" spans="1:24">
      <c r="A4" s="1" t="s">
        <v>2</v>
      </c>
      <c r="B4">
        <v>9.4962000000000018</v>
      </c>
      <c r="C4">
        <v>5.6392000000000007</v>
      </c>
      <c r="D4">
        <v>0</v>
      </c>
      <c r="E4">
        <v>12.169500000000001</v>
      </c>
      <c r="F4">
        <v>0</v>
      </c>
      <c r="G4">
        <v>0</v>
      </c>
      <c r="H4">
        <v>0</v>
      </c>
      <c r="J4">
        <v>0</v>
      </c>
      <c r="L4">
        <v>0</v>
      </c>
      <c r="N4">
        <v>0</v>
      </c>
      <c r="O4">
        <v>14.291663960000003</v>
      </c>
      <c r="P4">
        <v>0</v>
      </c>
      <c r="Q4">
        <v>0.46523400000000009</v>
      </c>
      <c r="R4">
        <v>0.26280799999999999</v>
      </c>
      <c r="S4">
        <v>0.53732000000000002</v>
      </c>
      <c r="T4">
        <v>0.47028799999999948</v>
      </c>
      <c r="U4">
        <v>0</v>
      </c>
      <c r="V4" s="3">
        <f t="shared" si="0"/>
        <v>21.665700000000001</v>
      </c>
      <c r="W4" s="3">
        <f t="shared" si="1"/>
        <v>21.666513960000003</v>
      </c>
      <c r="X4" s="3">
        <f t="shared" si="2"/>
        <v>-8.1396000000211188E-4</v>
      </c>
    </row>
    <row r="5" spans="1:24">
      <c r="A5" s="1" t="s">
        <v>3</v>
      </c>
      <c r="B5">
        <v>9.1903000000000006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0.71820000000000006</v>
      </c>
      <c r="N5">
        <v>0</v>
      </c>
      <c r="O5">
        <v>5.7456000000000005</v>
      </c>
      <c r="P5">
        <v>0</v>
      </c>
      <c r="Q5">
        <v>0.73150000000000015</v>
      </c>
      <c r="R5">
        <v>0.29260000000000003</v>
      </c>
      <c r="S5">
        <v>0.15959999999999999</v>
      </c>
      <c r="T5">
        <v>1.5427999999999997</v>
      </c>
      <c r="U5">
        <v>0</v>
      </c>
      <c r="V5" s="3">
        <f t="shared" si="0"/>
        <v>9.1903000000000006</v>
      </c>
      <c r="W5" s="3">
        <f t="shared" si="1"/>
        <v>9.1903000000000006</v>
      </c>
      <c r="X5" s="3">
        <f t="shared" si="2"/>
        <v>0</v>
      </c>
    </row>
    <row r="6" spans="1:24">
      <c r="A6" s="1" t="s">
        <v>4</v>
      </c>
      <c r="B6">
        <v>93.737868000000006</v>
      </c>
      <c r="C6">
        <v>58.48264163000001</v>
      </c>
      <c r="D6">
        <v>0</v>
      </c>
      <c r="E6">
        <v>0</v>
      </c>
      <c r="F6">
        <v>0</v>
      </c>
      <c r="G6">
        <v>0</v>
      </c>
      <c r="H6">
        <v>0</v>
      </c>
      <c r="J6">
        <v>0</v>
      </c>
      <c r="L6">
        <v>5.6207981199999999</v>
      </c>
      <c r="N6">
        <v>0</v>
      </c>
      <c r="O6">
        <v>22.497249249999999</v>
      </c>
      <c r="P6">
        <v>0</v>
      </c>
      <c r="Q6">
        <v>0.39900000000000002</v>
      </c>
      <c r="R6">
        <v>0.2394</v>
      </c>
      <c r="S6">
        <v>0.34580000000000005</v>
      </c>
      <c r="T6">
        <v>6.1529790000000002</v>
      </c>
      <c r="U6">
        <v>0</v>
      </c>
      <c r="V6" s="3">
        <f t="shared" si="0"/>
        <v>93.737868000000006</v>
      </c>
      <c r="W6" s="3">
        <f t="shared" si="1"/>
        <v>93.73786800000002</v>
      </c>
      <c r="X6" s="3">
        <f t="shared" si="2"/>
        <v>0</v>
      </c>
    </row>
    <row r="7" spans="1:24">
      <c r="A7" s="2" t="s">
        <v>5</v>
      </c>
      <c r="B7">
        <v>11.597600000000002</v>
      </c>
      <c r="C7">
        <v>0</v>
      </c>
      <c r="D7">
        <v>0</v>
      </c>
      <c r="E7">
        <v>7.3415999999999997</v>
      </c>
      <c r="F7">
        <v>0</v>
      </c>
      <c r="G7">
        <v>0</v>
      </c>
      <c r="H7">
        <v>0</v>
      </c>
      <c r="J7">
        <v>0</v>
      </c>
      <c r="L7">
        <v>6.6500000000000004E-2</v>
      </c>
      <c r="N7">
        <v>0</v>
      </c>
      <c r="O7">
        <v>18.500300000000003</v>
      </c>
      <c r="P7">
        <v>0</v>
      </c>
      <c r="Q7">
        <v>0</v>
      </c>
      <c r="R7">
        <v>0.37240000000000006</v>
      </c>
      <c r="S7">
        <v>0</v>
      </c>
      <c r="T7">
        <v>0</v>
      </c>
      <c r="U7">
        <v>0</v>
      </c>
      <c r="V7" s="3">
        <f t="shared" si="0"/>
        <v>18.9392</v>
      </c>
      <c r="W7" s="3">
        <f t="shared" si="1"/>
        <v>18.939200000000003</v>
      </c>
      <c r="X7" s="3">
        <f t="shared" si="2"/>
        <v>0</v>
      </c>
    </row>
    <row r="8" spans="1:24">
      <c r="A8" s="1" t="s">
        <v>6</v>
      </c>
      <c r="B8">
        <v>3.2053000000000003</v>
      </c>
      <c r="C8">
        <v>0</v>
      </c>
      <c r="D8">
        <v>0</v>
      </c>
      <c r="E8">
        <v>5.3997999999999999</v>
      </c>
      <c r="F8">
        <v>0</v>
      </c>
      <c r="G8">
        <v>0</v>
      </c>
      <c r="H8">
        <v>0</v>
      </c>
      <c r="J8">
        <v>0</v>
      </c>
      <c r="L8">
        <v>0.89110000000000011</v>
      </c>
      <c r="N8">
        <v>0</v>
      </c>
      <c r="O8">
        <v>7.1288000000000009</v>
      </c>
      <c r="P8">
        <v>0</v>
      </c>
      <c r="Q8">
        <v>0</v>
      </c>
      <c r="R8">
        <v>6.6500000000000004E-2</v>
      </c>
      <c r="S8">
        <v>0</v>
      </c>
      <c r="T8">
        <v>0.51869999999999938</v>
      </c>
      <c r="U8">
        <v>0</v>
      </c>
      <c r="V8" s="3">
        <f t="shared" si="0"/>
        <v>8.6051000000000002</v>
      </c>
      <c r="W8" s="3">
        <f t="shared" si="1"/>
        <v>8.6051000000000002</v>
      </c>
      <c r="X8" s="3">
        <f t="shared" si="2"/>
        <v>0</v>
      </c>
    </row>
    <row r="9" spans="1:24">
      <c r="A9" s="1" t="s">
        <v>7</v>
      </c>
      <c r="B9">
        <v>33.914999999999999</v>
      </c>
      <c r="C9">
        <v>0</v>
      </c>
      <c r="D9">
        <v>0</v>
      </c>
      <c r="E9">
        <v>6.9159999999999995</v>
      </c>
      <c r="F9">
        <v>0</v>
      </c>
      <c r="G9">
        <v>0</v>
      </c>
      <c r="H9">
        <v>0</v>
      </c>
      <c r="J9">
        <v>0</v>
      </c>
      <c r="L9">
        <v>6.4638</v>
      </c>
      <c r="N9">
        <v>0</v>
      </c>
      <c r="O9">
        <v>32.890900000000002</v>
      </c>
      <c r="P9">
        <v>0</v>
      </c>
      <c r="Q9">
        <v>0</v>
      </c>
      <c r="R9">
        <v>0</v>
      </c>
      <c r="S9">
        <v>0</v>
      </c>
      <c r="T9">
        <v>1.4762999999999993</v>
      </c>
      <c r="U9">
        <v>0</v>
      </c>
      <c r="V9" s="3">
        <f t="shared" si="0"/>
        <v>40.830999999999996</v>
      </c>
      <c r="W9" s="3">
        <f t="shared" si="1"/>
        <v>40.831000000000003</v>
      </c>
      <c r="X9" s="3">
        <f t="shared" si="2"/>
        <v>0</v>
      </c>
    </row>
    <row r="10" spans="1:24">
      <c r="A10" s="1" t="s">
        <v>8</v>
      </c>
      <c r="B10">
        <v>6.743100000000001</v>
      </c>
      <c r="C10">
        <v>0</v>
      </c>
      <c r="D10">
        <v>0</v>
      </c>
      <c r="E10">
        <v>30.198076849425508</v>
      </c>
      <c r="F10">
        <v>0</v>
      </c>
      <c r="G10">
        <v>0</v>
      </c>
      <c r="H10">
        <v>3.4846000000000004</v>
      </c>
      <c r="J10">
        <v>0</v>
      </c>
      <c r="L10">
        <v>8.605100000000002</v>
      </c>
      <c r="N10">
        <v>0</v>
      </c>
      <c r="O10">
        <v>14.118376849425513</v>
      </c>
      <c r="P10">
        <v>1.3300000000000001E-2</v>
      </c>
      <c r="Q10">
        <v>0.25270000000000004</v>
      </c>
      <c r="R10">
        <v>0.77139999999999997</v>
      </c>
      <c r="S10">
        <v>2.1280000000000001</v>
      </c>
      <c r="T10">
        <v>7.567699999999995</v>
      </c>
      <c r="U10">
        <v>0</v>
      </c>
      <c r="V10" s="3">
        <f t="shared" si="0"/>
        <v>36.94117684942551</v>
      </c>
      <c r="W10" s="3">
        <f t="shared" si="1"/>
        <v>36.941176849425517</v>
      </c>
      <c r="X10" s="3">
        <f t="shared" si="2"/>
        <v>0</v>
      </c>
    </row>
    <row r="11" spans="1:24">
      <c r="A11" s="1" t="s">
        <v>9</v>
      </c>
      <c r="B11">
        <v>0.77139999999999631</v>
      </c>
      <c r="C11">
        <v>3.9899999999999998E-2</v>
      </c>
      <c r="D11">
        <v>0</v>
      </c>
      <c r="E11">
        <v>58.559900000000006</v>
      </c>
      <c r="F11">
        <v>0</v>
      </c>
      <c r="G11">
        <v>0</v>
      </c>
      <c r="H11">
        <v>6.6500000000000004E-2</v>
      </c>
      <c r="J11">
        <v>0</v>
      </c>
      <c r="L11">
        <v>29.526000000000007</v>
      </c>
      <c r="N11">
        <v>0</v>
      </c>
      <c r="O11">
        <v>24.033100000000001</v>
      </c>
      <c r="P11">
        <v>0</v>
      </c>
      <c r="Q11">
        <v>0.29260000000000003</v>
      </c>
      <c r="R11">
        <v>0.39900000000000002</v>
      </c>
      <c r="S11">
        <v>0</v>
      </c>
      <c r="T11">
        <v>4.974199999999998</v>
      </c>
      <c r="U11">
        <v>0</v>
      </c>
      <c r="V11" s="3">
        <f t="shared" si="0"/>
        <v>59.331299999999999</v>
      </c>
      <c r="W11" s="3">
        <f t="shared" si="1"/>
        <v>59.331300000000006</v>
      </c>
      <c r="X11" s="3">
        <f t="shared" si="2"/>
        <v>0</v>
      </c>
    </row>
    <row r="12" spans="1:24">
      <c r="A12" s="1" t="s">
        <v>10</v>
      </c>
      <c r="B12">
        <v>0</v>
      </c>
      <c r="C12">
        <v>2.279752999999999</v>
      </c>
      <c r="D12">
        <v>0</v>
      </c>
      <c r="E12">
        <v>24.059699999999999</v>
      </c>
      <c r="F12">
        <v>0</v>
      </c>
      <c r="G12">
        <v>0</v>
      </c>
      <c r="H12">
        <v>0</v>
      </c>
      <c r="J12">
        <v>0</v>
      </c>
      <c r="L12">
        <v>14.748370000000001</v>
      </c>
      <c r="N12">
        <v>0</v>
      </c>
      <c r="O12">
        <v>5.5860000000000003</v>
      </c>
      <c r="P12">
        <v>0</v>
      </c>
      <c r="Q12">
        <v>0</v>
      </c>
      <c r="R12">
        <v>0.13300000000000001</v>
      </c>
      <c r="S12">
        <v>0</v>
      </c>
      <c r="T12">
        <v>1.3125770000000001</v>
      </c>
      <c r="U12">
        <v>0</v>
      </c>
      <c r="V12" s="3">
        <f t="shared" si="0"/>
        <v>24.059699999999999</v>
      </c>
      <c r="W12" s="3">
        <f t="shared" si="1"/>
        <v>24.059699999999999</v>
      </c>
      <c r="X12" s="3">
        <f t="shared" si="2"/>
        <v>0</v>
      </c>
    </row>
    <row r="13" spans="1:24">
      <c r="A13" s="1" t="s">
        <v>11</v>
      </c>
      <c r="B13">
        <v>0</v>
      </c>
      <c r="C13">
        <v>2.7436846242955438E-2</v>
      </c>
      <c r="D13">
        <v>0</v>
      </c>
      <c r="E13">
        <v>5.3864999999999998</v>
      </c>
      <c r="F13">
        <v>0</v>
      </c>
      <c r="G13">
        <v>0</v>
      </c>
      <c r="H13">
        <v>0</v>
      </c>
      <c r="J13">
        <v>0</v>
      </c>
      <c r="L13">
        <v>0</v>
      </c>
      <c r="N13">
        <v>0</v>
      </c>
      <c r="O13">
        <v>2.8187631537570441</v>
      </c>
      <c r="P13">
        <v>0</v>
      </c>
      <c r="Q13">
        <v>2.6600000000000002E-2</v>
      </c>
      <c r="R13">
        <v>0.53200000000000003</v>
      </c>
      <c r="S13">
        <v>0</v>
      </c>
      <c r="T13">
        <v>1.9816999999999998</v>
      </c>
      <c r="U13">
        <v>0</v>
      </c>
      <c r="V13" s="3">
        <f t="shared" si="0"/>
        <v>5.3864999999999998</v>
      </c>
      <c r="W13" s="3">
        <f t="shared" si="1"/>
        <v>5.3864999999999998</v>
      </c>
      <c r="X13" s="3">
        <f t="shared" si="2"/>
        <v>0</v>
      </c>
    </row>
    <row r="14" spans="1:24">
      <c r="A14" s="1" t="s">
        <v>12</v>
      </c>
      <c r="B14">
        <v>0</v>
      </c>
      <c r="C14">
        <v>0</v>
      </c>
      <c r="D14">
        <v>0</v>
      </c>
      <c r="E14">
        <v>0.63839999999999997</v>
      </c>
      <c r="F14">
        <v>0</v>
      </c>
      <c r="G14">
        <v>0</v>
      </c>
      <c r="H14">
        <v>0</v>
      </c>
      <c r="J14">
        <v>0</v>
      </c>
      <c r="L14">
        <v>0</v>
      </c>
      <c r="N14">
        <v>0</v>
      </c>
      <c r="O14">
        <v>0.63839999999999997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0.63839999999999997</v>
      </c>
      <c r="W14" s="3">
        <f t="shared" si="1"/>
        <v>0.63839999999999997</v>
      </c>
      <c r="X14" s="3">
        <f t="shared" si="2"/>
        <v>0</v>
      </c>
    </row>
    <row r="15" spans="1:24">
      <c r="A15" s="1" t="s">
        <v>13</v>
      </c>
      <c r="B15">
        <v>0.58520000000000005</v>
      </c>
      <c r="C15">
        <v>0</v>
      </c>
      <c r="D15">
        <v>0</v>
      </c>
      <c r="E15">
        <v>0.79800000000000004</v>
      </c>
      <c r="F15">
        <v>0</v>
      </c>
      <c r="G15">
        <v>0</v>
      </c>
      <c r="H15">
        <v>0</v>
      </c>
      <c r="J15">
        <v>0</v>
      </c>
      <c r="L15">
        <v>0</v>
      </c>
      <c r="N15">
        <v>0</v>
      </c>
      <c r="O15">
        <v>0.53200000000000003</v>
      </c>
      <c r="P15">
        <v>0</v>
      </c>
      <c r="Q15">
        <v>0</v>
      </c>
      <c r="R15">
        <v>0.35910000000000003</v>
      </c>
      <c r="S15">
        <v>0</v>
      </c>
      <c r="T15">
        <v>0.49210000000000004</v>
      </c>
      <c r="U15">
        <v>0</v>
      </c>
      <c r="V15" s="3">
        <f t="shared" si="0"/>
        <v>1.3832</v>
      </c>
      <c r="W15" s="3">
        <f t="shared" si="1"/>
        <v>1.3832</v>
      </c>
      <c r="X15" s="3">
        <f t="shared" si="2"/>
        <v>0</v>
      </c>
    </row>
    <row r="16" spans="1:24">
      <c r="A16" s="1" t="s">
        <v>14</v>
      </c>
      <c r="B16">
        <v>10.905999999999999</v>
      </c>
      <c r="C16">
        <v>0</v>
      </c>
      <c r="D16">
        <v>0</v>
      </c>
      <c r="E16">
        <v>20.1293638</v>
      </c>
      <c r="F16">
        <v>0</v>
      </c>
      <c r="G16">
        <v>0</v>
      </c>
      <c r="H16">
        <v>0</v>
      </c>
      <c r="J16">
        <v>0</v>
      </c>
      <c r="L16">
        <v>0.51186380000000009</v>
      </c>
      <c r="N16">
        <v>0</v>
      </c>
      <c r="O16">
        <v>19.950000000000003</v>
      </c>
      <c r="P16">
        <v>0</v>
      </c>
      <c r="Q16">
        <v>0.99750000000000005</v>
      </c>
      <c r="R16">
        <v>1.5960000000000001</v>
      </c>
      <c r="S16">
        <v>1.4630000000000003</v>
      </c>
      <c r="T16">
        <v>6.5169999999999986</v>
      </c>
      <c r="U16">
        <v>0</v>
      </c>
      <c r="V16" s="3">
        <f t="shared" si="0"/>
        <v>31.035363799999999</v>
      </c>
      <c r="W16" s="3">
        <f t="shared" si="1"/>
        <v>31.035363800000002</v>
      </c>
      <c r="X16" s="3">
        <f t="shared" si="2"/>
        <v>0</v>
      </c>
    </row>
    <row r="17" spans="1:24">
      <c r="A17" s="1" t="s">
        <v>15</v>
      </c>
      <c r="B17">
        <v>20.960800000000006</v>
      </c>
      <c r="C17">
        <v>2.2876000000000003</v>
      </c>
      <c r="D17">
        <v>0</v>
      </c>
      <c r="E17">
        <v>25.402999999999999</v>
      </c>
      <c r="F17">
        <v>0</v>
      </c>
      <c r="G17">
        <v>0</v>
      </c>
      <c r="H17">
        <v>0</v>
      </c>
      <c r="J17">
        <v>0</v>
      </c>
      <c r="L17">
        <v>0.46549999999999997</v>
      </c>
      <c r="N17">
        <v>0</v>
      </c>
      <c r="O17">
        <v>35.590800000000002</v>
      </c>
      <c r="P17">
        <v>0</v>
      </c>
      <c r="Q17">
        <v>2.6600000000000002E-2</v>
      </c>
      <c r="R17">
        <v>0.67830000000000001</v>
      </c>
      <c r="S17">
        <v>0</v>
      </c>
      <c r="T17">
        <v>7.3149999999999977</v>
      </c>
      <c r="U17">
        <v>0</v>
      </c>
      <c r="V17" s="3">
        <f t="shared" si="0"/>
        <v>46.363800000000005</v>
      </c>
      <c r="W17" s="3">
        <f t="shared" si="1"/>
        <v>46.363799999999998</v>
      </c>
      <c r="X17" s="3">
        <f t="shared" si="2"/>
        <v>0</v>
      </c>
    </row>
    <row r="18" spans="1:24">
      <c r="A18" s="1" t="s">
        <v>16</v>
      </c>
      <c r="B18">
        <v>1.6492000000000016</v>
      </c>
      <c r="C18">
        <v>0</v>
      </c>
      <c r="D18">
        <v>0</v>
      </c>
      <c r="E18">
        <v>9.8286999999999995</v>
      </c>
      <c r="F18">
        <v>0</v>
      </c>
      <c r="G18">
        <v>0</v>
      </c>
      <c r="H18">
        <v>0</v>
      </c>
      <c r="J18">
        <v>0</v>
      </c>
      <c r="L18">
        <v>0.2394</v>
      </c>
      <c r="N18">
        <v>5.3200000000000004E-2</v>
      </c>
      <c r="O18">
        <v>6.9958</v>
      </c>
      <c r="P18">
        <v>0</v>
      </c>
      <c r="Q18">
        <v>0</v>
      </c>
      <c r="R18">
        <v>0</v>
      </c>
      <c r="S18">
        <v>0</v>
      </c>
      <c r="T18">
        <v>4.1895000000000007</v>
      </c>
      <c r="U18">
        <v>0</v>
      </c>
      <c r="V18" s="3">
        <f t="shared" si="0"/>
        <v>11.477900000000002</v>
      </c>
      <c r="W18" s="3">
        <f t="shared" si="1"/>
        <v>11.477900000000002</v>
      </c>
      <c r="X18" s="3">
        <f t="shared" si="2"/>
        <v>0</v>
      </c>
    </row>
    <row r="19" spans="1:24">
      <c r="A19" s="1" t="s">
        <v>17</v>
      </c>
      <c r="B19">
        <v>0</v>
      </c>
      <c r="C19">
        <v>0</v>
      </c>
      <c r="D19">
        <v>0</v>
      </c>
      <c r="E19">
        <v>7.7671999999999999</v>
      </c>
      <c r="F19">
        <v>0</v>
      </c>
      <c r="G19">
        <v>0</v>
      </c>
      <c r="H19">
        <v>0</v>
      </c>
      <c r="J19">
        <v>0</v>
      </c>
      <c r="L19">
        <v>0</v>
      </c>
      <c r="N19">
        <v>0</v>
      </c>
      <c r="O19">
        <v>4.6683000000000003</v>
      </c>
      <c r="P19">
        <v>3.9899999999999998E-2</v>
      </c>
      <c r="Q19">
        <v>3.9899999999999998E-2</v>
      </c>
      <c r="R19">
        <v>1.3965000000000001</v>
      </c>
      <c r="S19">
        <v>0</v>
      </c>
      <c r="T19">
        <v>1.6226000000000018</v>
      </c>
      <c r="U19">
        <v>0</v>
      </c>
      <c r="V19" s="3">
        <f t="shared" si="0"/>
        <v>7.7671999999999999</v>
      </c>
      <c r="W19" s="3">
        <f t="shared" si="1"/>
        <v>7.7672000000000025</v>
      </c>
      <c r="X19" s="3">
        <f t="shared" si="2"/>
        <v>0</v>
      </c>
    </row>
    <row r="20" spans="1:24">
      <c r="A20" s="1" t="s">
        <v>18</v>
      </c>
      <c r="B20">
        <v>71.168300000000016</v>
      </c>
      <c r="C20">
        <v>86.489900000000006</v>
      </c>
      <c r="D20">
        <v>9.9085000000000001</v>
      </c>
      <c r="E20">
        <v>33.316500000000005</v>
      </c>
      <c r="F20">
        <v>53.466000000000008</v>
      </c>
      <c r="G20">
        <v>0</v>
      </c>
      <c r="H20">
        <v>1.5693999999999999</v>
      </c>
      <c r="J20">
        <v>0</v>
      </c>
      <c r="L20">
        <v>42.786100000000005</v>
      </c>
      <c r="N20">
        <v>0</v>
      </c>
      <c r="O20">
        <v>6.1845000000000008</v>
      </c>
      <c r="P20">
        <v>0</v>
      </c>
      <c r="Q20">
        <v>0</v>
      </c>
      <c r="R20">
        <v>0</v>
      </c>
      <c r="S20">
        <v>0</v>
      </c>
      <c r="T20">
        <v>10.2277</v>
      </c>
      <c r="U20">
        <v>0.78469999999999995</v>
      </c>
      <c r="V20" s="3">
        <f t="shared" si="0"/>
        <v>157.95080000000002</v>
      </c>
      <c r="W20" s="3">
        <f t="shared" si="1"/>
        <v>157.95080000000002</v>
      </c>
      <c r="X20" s="3">
        <f t="shared" si="2"/>
        <v>0</v>
      </c>
    </row>
    <row r="21" spans="1:24">
      <c r="A21" s="1" t="s">
        <v>19</v>
      </c>
      <c r="B21">
        <v>0</v>
      </c>
      <c r="C21">
        <v>0</v>
      </c>
      <c r="D21">
        <v>0</v>
      </c>
      <c r="E21">
        <v>1.7879190000000003</v>
      </c>
      <c r="F21">
        <v>0</v>
      </c>
      <c r="G21">
        <v>0</v>
      </c>
      <c r="H21">
        <v>0</v>
      </c>
      <c r="J21">
        <v>0</v>
      </c>
      <c r="L21">
        <v>0</v>
      </c>
      <c r="N21">
        <v>0</v>
      </c>
      <c r="O21">
        <v>0.79041900000000009</v>
      </c>
      <c r="P21">
        <v>0</v>
      </c>
      <c r="Q21">
        <v>0</v>
      </c>
      <c r="R21">
        <v>0</v>
      </c>
      <c r="S21">
        <v>0</v>
      </c>
      <c r="T21">
        <v>0.99750000000000005</v>
      </c>
      <c r="U21">
        <v>0</v>
      </c>
      <c r="V21" s="3">
        <f t="shared" si="0"/>
        <v>1.7879190000000003</v>
      </c>
      <c r="W21" s="3">
        <f t="shared" si="1"/>
        <v>1.787919</v>
      </c>
      <c r="X21" s="3">
        <f t="shared" si="2"/>
        <v>0</v>
      </c>
    </row>
    <row r="22" spans="1:24">
      <c r="A22" s="1" t="s">
        <v>20</v>
      </c>
      <c r="B22">
        <v>2.6998999999999969</v>
      </c>
      <c r="C22">
        <v>0</v>
      </c>
      <c r="D22">
        <v>24.658200000000001</v>
      </c>
      <c r="E22">
        <v>53.080300000000008</v>
      </c>
      <c r="F22">
        <v>0</v>
      </c>
      <c r="G22">
        <v>0</v>
      </c>
      <c r="H22">
        <v>0</v>
      </c>
      <c r="J22">
        <v>0</v>
      </c>
      <c r="L22">
        <v>8.1395999999999997</v>
      </c>
      <c r="N22">
        <v>0</v>
      </c>
      <c r="O22">
        <v>22.2775</v>
      </c>
      <c r="P22">
        <v>0</v>
      </c>
      <c r="Q22">
        <v>0.37240000000000006</v>
      </c>
      <c r="R22">
        <v>0.33250000000000002</v>
      </c>
      <c r="S22">
        <v>0</v>
      </c>
      <c r="T22">
        <v>0</v>
      </c>
      <c r="U22">
        <v>0</v>
      </c>
      <c r="V22" s="3">
        <f t="shared" si="0"/>
        <v>55.780200000000008</v>
      </c>
      <c r="W22" s="3">
        <f t="shared" si="1"/>
        <v>55.780199999999994</v>
      </c>
      <c r="X22" s="3">
        <f t="shared" si="2"/>
        <v>0</v>
      </c>
    </row>
    <row r="23" spans="1:24">
      <c r="A23" s="1" t="s">
        <v>21</v>
      </c>
      <c r="B23">
        <v>90.346899999999991</v>
      </c>
      <c r="C23">
        <v>41.881700000000002</v>
      </c>
      <c r="D23">
        <v>0</v>
      </c>
      <c r="E23">
        <v>9.4297000000000004</v>
      </c>
      <c r="F23">
        <v>0</v>
      </c>
      <c r="G23">
        <v>0</v>
      </c>
      <c r="H23">
        <v>0</v>
      </c>
      <c r="J23">
        <v>0</v>
      </c>
      <c r="L23">
        <v>0.38570000000000004</v>
      </c>
      <c r="N23">
        <v>0.79800000000000004</v>
      </c>
      <c r="O23">
        <v>41.216700000000003</v>
      </c>
      <c r="P23">
        <v>6.6500000000000004E-2</v>
      </c>
      <c r="Q23">
        <v>0.13300000000000001</v>
      </c>
      <c r="R23">
        <v>3.3382999999999998</v>
      </c>
      <c r="S23">
        <v>7.9799999999999996E-2</v>
      </c>
      <c r="T23">
        <v>11.876900000000003</v>
      </c>
      <c r="U23">
        <v>0</v>
      </c>
      <c r="V23" s="3">
        <f t="shared" si="0"/>
        <v>99.776599999999988</v>
      </c>
      <c r="W23" s="3">
        <f t="shared" si="1"/>
        <v>99.776600000000002</v>
      </c>
      <c r="X23" s="3">
        <f t="shared" si="2"/>
        <v>0</v>
      </c>
    </row>
    <row r="24" spans="1:24">
      <c r="A24" s="1" t="s">
        <v>22</v>
      </c>
      <c r="B24">
        <v>228.37430000000003</v>
      </c>
      <c r="C24">
        <v>79.214800000000011</v>
      </c>
      <c r="D24">
        <v>0</v>
      </c>
      <c r="E24">
        <v>0</v>
      </c>
      <c r="F24">
        <v>0</v>
      </c>
      <c r="G24">
        <v>0</v>
      </c>
      <c r="H24">
        <v>0</v>
      </c>
      <c r="J24">
        <v>0</v>
      </c>
      <c r="L24">
        <v>2.6334000000000004</v>
      </c>
      <c r="N24">
        <v>2.6600000000000002E-2</v>
      </c>
      <c r="O24">
        <v>93.498999999999995</v>
      </c>
      <c r="P24">
        <v>4.0964</v>
      </c>
      <c r="Q24">
        <v>2.7530999999999999</v>
      </c>
      <c r="R24">
        <v>5.4796000000000005</v>
      </c>
      <c r="S24">
        <v>0.18620000000000003</v>
      </c>
      <c r="T24">
        <v>40.485200000000013</v>
      </c>
      <c r="U24">
        <v>0</v>
      </c>
      <c r="V24" s="3">
        <f t="shared" si="0"/>
        <v>228.37430000000003</v>
      </c>
      <c r="W24" s="3">
        <f t="shared" si="1"/>
        <v>228.37430000000001</v>
      </c>
      <c r="X24" s="3">
        <f t="shared" si="2"/>
        <v>0</v>
      </c>
    </row>
    <row r="25" spans="1:24">
      <c r="A25" s="1" t="s">
        <v>23</v>
      </c>
      <c r="B25">
        <v>0</v>
      </c>
      <c r="C25">
        <v>0</v>
      </c>
      <c r="D25">
        <v>0</v>
      </c>
      <c r="E25">
        <v>6.8361999999999998</v>
      </c>
      <c r="F25">
        <v>0</v>
      </c>
      <c r="G25">
        <v>0</v>
      </c>
      <c r="H25">
        <v>0</v>
      </c>
      <c r="J25">
        <v>0</v>
      </c>
      <c r="L25">
        <v>0</v>
      </c>
      <c r="N25">
        <v>0</v>
      </c>
      <c r="O25">
        <v>6.7032000000000007</v>
      </c>
      <c r="P25">
        <v>0</v>
      </c>
      <c r="Q25">
        <v>0</v>
      </c>
      <c r="R25">
        <v>0</v>
      </c>
      <c r="S25">
        <v>0</v>
      </c>
      <c r="T25">
        <v>0.13299999999999954</v>
      </c>
      <c r="U25">
        <v>0</v>
      </c>
      <c r="V25" s="3">
        <f t="shared" si="0"/>
        <v>6.8361999999999998</v>
      </c>
      <c r="W25" s="3">
        <f t="shared" si="1"/>
        <v>6.8361999999999998</v>
      </c>
      <c r="X25" s="3">
        <f t="shared" si="2"/>
        <v>0</v>
      </c>
    </row>
    <row r="26" spans="1:24">
      <c r="A26" s="1" t="s">
        <v>24</v>
      </c>
      <c r="B26">
        <v>0.26600000000000024</v>
      </c>
      <c r="C26">
        <v>2.2915900000001878E-3</v>
      </c>
      <c r="D26">
        <v>0</v>
      </c>
      <c r="E26">
        <v>7.0357000000000003</v>
      </c>
      <c r="F26">
        <v>0</v>
      </c>
      <c r="G26">
        <v>0</v>
      </c>
      <c r="H26">
        <v>0</v>
      </c>
      <c r="J26">
        <v>0</v>
      </c>
      <c r="L26">
        <v>0</v>
      </c>
      <c r="N26">
        <v>0</v>
      </c>
      <c r="O26">
        <v>7.0334084099999998</v>
      </c>
      <c r="P26">
        <v>0</v>
      </c>
      <c r="Q26">
        <v>0</v>
      </c>
      <c r="R26">
        <v>0</v>
      </c>
      <c r="S26">
        <v>0</v>
      </c>
      <c r="T26">
        <v>0.26600000000000024</v>
      </c>
      <c r="U26">
        <v>0</v>
      </c>
      <c r="V26" s="3">
        <f t="shared" si="0"/>
        <v>7.3017000000000003</v>
      </c>
      <c r="W26" s="3">
        <f t="shared" si="1"/>
        <v>7.3017000000000003</v>
      </c>
      <c r="X26" s="3">
        <f t="shared" si="2"/>
        <v>0</v>
      </c>
    </row>
    <row r="27" spans="1:24">
      <c r="A27" s="1" t="s">
        <v>25</v>
      </c>
      <c r="B27">
        <v>146.43299999999999</v>
      </c>
      <c r="C27">
        <v>92.887200000000007</v>
      </c>
      <c r="D27">
        <v>0</v>
      </c>
      <c r="E27">
        <v>0</v>
      </c>
      <c r="F27">
        <v>0</v>
      </c>
      <c r="G27">
        <v>0</v>
      </c>
      <c r="H27">
        <v>0</v>
      </c>
      <c r="J27">
        <v>-1.4364000000000001</v>
      </c>
      <c r="L27">
        <v>2.8329</v>
      </c>
      <c r="N27">
        <v>0</v>
      </c>
      <c r="O27">
        <v>27.823600000000003</v>
      </c>
      <c r="P27">
        <v>0</v>
      </c>
      <c r="Q27">
        <v>0</v>
      </c>
      <c r="R27">
        <v>7.3150000000000004</v>
      </c>
      <c r="S27">
        <v>0</v>
      </c>
      <c r="T27">
        <v>17.0107</v>
      </c>
      <c r="U27">
        <v>0</v>
      </c>
      <c r="V27" s="3">
        <f t="shared" si="0"/>
        <v>146.43299999999999</v>
      </c>
      <c r="W27" s="3">
        <f t="shared" si="1"/>
        <v>146.43299999999999</v>
      </c>
      <c r="X27" s="3">
        <f t="shared" si="2"/>
        <v>0</v>
      </c>
    </row>
    <row r="28" spans="1:24">
      <c r="A28" s="1" t="s">
        <v>26</v>
      </c>
      <c r="B28">
        <v>1.9817000000000005</v>
      </c>
      <c r="C28">
        <v>0</v>
      </c>
      <c r="D28">
        <v>0</v>
      </c>
      <c r="E28">
        <v>15.268400000000002</v>
      </c>
      <c r="F28">
        <v>0</v>
      </c>
      <c r="G28">
        <v>0</v>
      </c>
      <c r="H28">
        <v>0</v>
      </c>
      <c r="J28">
        <v>0</v>
      </c>
      <c r="L28">
        <v>0.8246</v>
      </c>
      <c r="N28">
        <v>0</v>
      </c>
      <c r="O28">
        <v>13.539400000000001</v>
      </c>
      <c r="P28">
        <v>3.9899999999999998E-2</v>
      </c>
      <c r="Q28">
        <v>0.98420000000000007</v>
      </c>
      <c r="R28">
        <v>0.59850000000000003</v>
      </c>
      <c r="S28">
        <v>0.30590000000000001</v>
      </c>
      <c r="T28">
        <v>0.95760000000000034</v>
      </c>
      <c r="U28">
        <v>0</v>
      </c>
      <c r="V28" s="3">
        <f t="shared" si="0"/>
        <v>17.250100000000003</v>
      </c>
      <c r="W28" s="3">
        <f t="shared" si="1"/>
        <v>17.2501</v>
      </c>
      <c r="X28" s="3">
        <f t="shared" si="2"/>
        <v>0</v>
      </c>
    </row>
    <row r="29" spans="1:24">
      <c r="A29" s="1" t="s">
        <v>27</v>
      </c>
      <c r="B29">
        <v>45.620463000000001</v>
      </c>
      <c r="C29">
        <v>18.753</v>
      </c>
      <c r="D29">
        <v>0</v>
      </c>
      <c r="E29">
        <v>7.115500000000427E-2</v>
      </c>
      <c r="F29">
        <v>0</v>
      </c>
      <c r="G29">
        <v>0</v>
      </c>
      <c r="H29">
        <v>0</v>
      </c>
      <c r="J29">
        <v>0</v>
      </c>
      <c r="L29">
        <v>3.359979</v>
      </c>
      <c r="N29">
        <v>1.3300000000000001E-2</v>
      </c>
      <c r="O29">
        <v>5.4796000000000005</v>
      </c>
      <c r="P29">
        <v>2.4339000000000003E-2</v>
      </c>
      <c r="Q29">
        <v>0.59850000000000003</v>
      </c>
      <c r="R29">
        <v>3.0057999999999998</v>
      </c>
      <c r="S29">
        <v>6.5568999999999997</v>
      </c>
      <c r="T29">
        <v>7.9001999999999999</v>
      </c>
      <c r="U29">
        <v>0</v>
      </c>
      <c r="V29" s="3">
        <f t="shared" si="0"/>
        <v>45.691618000000005</v>
      </c>
      <c r="W29" s="3">
        <f t="shared" si="1"/>
        <v>45.691617999999998</v>
      </c>
      <c r="X29" s="3">
        <f t="shared" si="2"/>
        <v>0</v>
      </c>
    </row>
    <row r="30" spans="1:24">
      <c r="A30" s="1" t="s">
        <v>28</v>
      </c>
      <c r="B30">
        <v>0</v>
      </c>
      <c r="C30">
        <v>0</v>
      </c>
      <c r="D30">
        <v>0</v>
      </c>
      <c r="E30">
        <v>11.956700000000001</v>
      </c>
      <c r="F30">
        <v>0</v>
      </c>
      <c r="G30">
        <v>0</v>
      </c>
      <c r="H30">
        <v>0</v>
      </c>
      <c r="J30">
        <v>0</v>
      </c>
      <c r="L30">
        <v>0.37240000000000006</v>
      </c>
      <c r="N30">
        <v>0</v>
      </c>
      <c r="O30">
        <v>9.4563000000000006</v>
      </c>
      <c r="P30">
        <v>0</v>
      </c>
      <c r="Q30">
        <v>0.13300000000000001</v>
      </c>
      <c r="R30">
        <v>0</v>
      </c>
      <c r="S30">
        <v>0</v>
      </c>
      <c r="T30">
        <v>1.9950000000000008</v>
      </c>
      <c r="U30">
        <v>0</v>
      </c>
      <c r="V30" s="3">
        <f t="shared" si="0"/>
        <v>11.956700000000001</v>
      </c>
      <c r="W30" s="3">
        <f t="shared" si="1"/>
        <v>11.956700000000001</v>
      </c>
      <c r="X30" s="3">
        <f t="shared" si="2"/>
        <v>0</v>
      </c>
    </row>
    <row r="31" spans="1:24">
      <c r="A31" s="1" t="s">
        <v>29</v>
      </c>
      <c r="B31">
        <v>279.73890000000006</v>
      </c>
      <c r="C31">
        <v>186.89160000000001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17.955000000000002</v>
      </c>
      <c r="N31">
        <v>0</v>
      </c>
      <c r="O31">
        <v>64.012900000000002</v>
      </c>
      <c r="P31">
        <v>0</v>
      </c>
      <c r="Q31">
        <v>4.1230000000000002</v>
      </c>
      <c r="R31">
        <v>1.4896000000000003</v>
      </c>
      <c r="S31">
        <v>0.6916000000000001</v>
      </c>
      <c r="T31">
        <v>4.5752000000000006</v>
      </c>
      <c r="U31">
        <v>0</v>
      </c>
      <c r="V31" s="3">
        <f t="shared" si="0"/>
        <v>279.73890000000006</v>
      </c>
      <c r="W31" s="3">
        <f t="shared" si="1"/>
        <v>279.7389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3"/>
  <sheetViews>
    <sheetView tabSelected="1" zoomScale="70" zoomScaleNormal="70" workbookViewId="0">
      <selection activeCell="N8" sqref="N8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8.8437169999999838</v>
      </c>
      <c r="C2">
        <v>0.30724999999999997</v>
      </c>
      <c r="D2">
        <v>0</v>
      </c>
      <c r="E2">
        <v>555.47215100000005</v>
      </c>
      <c r="F2">
        <v>0</v>
      </c>
      <c r="G2">
        <v>0</v>
      </c>
      <c r="H2">
        <v>0</v>
      </c>
      <c r="J2">
        <v>0</v>
      </c>
      <c r="L2">
        <v>709.70843699999989</v>
      </c>
      <c r="N2">
        <v>16.419439999999998</v>
      </c>
      <c r="O2">
        <v>470.90157399999993</v>
      </c>
      <c r="P2">
        <v>23.344422999999999</v>
      </c>
      <c r="Q2">
        <v>60.131583999999997</v>
      </c>
      <c r="R2">
        <v>110.81229799999998</v>
      </c>
      <c r="S2">
        <v>330.87707199999994</v>
      </c>
      <c r="T2">
        <v>261.2306640000001</v>
      </c>
      <c r="U2">
        <v>0</v>
      </c>
      <c r="V2" s="3">
        <f>B2+L2+E2+F2</f>
        <v>1274.0243049999999</v>
      </c>
      <c r="W2" s="3">
        <f>C2+D2+SUM(G2:U2)-L2</f>
        <v>1274.0243050000004</v>
      </c>
      <c r="X2" s="3">
        <f>V2-W2</f>
        <v>0</v>
      </c>
    </row>
    <row r="3" spans="1:24">
      <c r="A3" s="1" t="s">
        <v>1</v>
      </c>
      <c r="B3">
        <v>0</v>
      </c>
      <c r="C3">
        <v>1.1675499999999999</v>
      </c>
      <c r="D3">
        <v>0</v>
      </c>
      <c r="E3">
        <v>133.36151799999999</v>
      </c>
      <c r="F3">
        <v>0</v>
      </c>
      <c r="G3">
        <v>0</v>
      </c>
      <c r="H3">
        <v>0</v>
      </c>
      <c r="J3">
        <v>0</v>
      </c>
      <c r="L3">
        <v>897.23478</v>
      </c>
      <c r="N3">
        <v>13.850829999999998</v>
      </c>
      <c r="O3">
        <v>628.54414199999997</v>
      </c>
      <c r="P3">
        <v>8.2046899999999994</v>
      </c>
      <c r="Q3">
        <v>14.910356999999998</v>
      </c>
      <c r="R3">
        <v>51.425911999999997</v>
      </c>
      <c r="S3">
        <v>45.356869999999994</v>
      </c>
      <c r="T3">
        <v>267.13594699999993</v>
      </c>
      <c r="U3">
        <v>0</v>
      </c>
      <c r="V3" s="3">
        <f t="shared" ref="V3:V31" si="0">B3+L3+E3+F3</f>
        <v>1030.5962979999999</v>
      </c>
      <c r="W3" s="3">
        <f t="shared" ref="W3:W31" si="1">C3+D3+SUM(G3:U3)-L3</f>
        <v>1030.5962979999997</v>
      </c>
      <c r="X3" s="3">
        <f t="shared" ref="X3:X31" si="2">V3-W3</f>
        <v>0</v>
      </c>
    </row>
    <row r="4" spans="1:24">
      <c r="A4" s="1" t="s">
        <v>2</v>
      </c>
      <c r="B4">
        <v>13.584184999999994</v>
      </c>
      <c r="C4">
        <v>94.046094999999994</v>
      </c>
      <c r="D4">
        <v>0</v>
      </c>
      <c r="E4">
        <v>460.82583999999991</v>
      </c>
      <c r="F4">
        <v>0</v>
      </c>
      <c r="G4">
        <v>0</v>
      </c>
      <c r="H4">
        <v>0</v>
      </c>
      <c r="J4">
        <v>0</v>
      </c>
      <c r="L4">
        <v>2622.0678599999997</v>
      </c>
      <c r="N4">
        <v>176.34921</v>
      </c>
      <c r="O4">
        <v>2099.6240384381417</v>
      </c>
      <c r="P4">
        <v>15.823691999999999</v>
      </c>
      <c r="Q4">
        <v>55.133595599999992</v>
      </c>
      <c r="R4">
        <v>43.256884399999997</v>
      </c>
      <c r="S4">
        <v>87.553994999999986</v>
      </c>
      <c r="T4">
        <v>524.69038519999958</v>
      </c>
      <c r="U4">
        <v>0</v>
      </c>
      <c r="V4" s="3">
        <f t="shared" si="0"/>
        <v>3096.4778849999998</v>
      </c>
      <c r="W4" s="3">
        <f t="shared" si="1"/>
        <v>3096.477895638141</v>
      </c>
      <c r="X4" s="3">
        <f t="shared" si="2"/>
        <v>-1.0638141247909516E-5</v>
      </c>
    </row>
    <row r="5" spans="1:24">
      <c r="A5" s="1" t="s">
        <v>3</v>
      </c>
      <c r="B5">
        <v>31.646749999999997</v>
      </c>
      <c r="C5">
        <v>568.48623999999995</v>
      </c>
      <c r="D5">
        <v>0</v>
      </c>
      <c r="E5">
        <v>62.506939999999993</v>
      </c>
      <c r="F5">
        <v>0</v>
      </c>
      <c r="G5">
        <v>0</v>
      </c>
      <c r="H5">
        <v>0</v>
      </c>
      <c r="J5">
        <v>0</v>
      </c>
      <c r="L5">
        <v>2441.272258</v>
      </c>
      <c r="N5">
        <v>34.879019999999997</v>
      </c>
      <c r="O5">
        <v>1520.3444769999999</v>
      </c>
      <c r="P5">
        <v>10.004059999999999</v>
      </c>
      <c r="Q5">
        <v>50.401289999999989</v>
      </c>
      <c r="R5">
        <v>18.680799999999998</v>
      </c>
      <c r="S5">
        <v>42.818359999999998</v>
      </c>
      <c r="T5">
        <v>289.81170099999991</v>
      </c>
      <c r="U5">
        <v>0</v>
      </c>
      <c r="V5" s="3">
        <f t="shared" si="0"/>
        <v>2535.4259480000001</v>
      </c>
      <c r="W5" s="3">
        <f t="shared" si="1"/>
        <v>2535.4259480000001</v>
      </c>
      <c r="X5" s="3">
        <f t="shared" si="2"/>
        <v>0</v>
      </c>
    </row>
    <row r="6" spans="1:24">
      <c r="A6" s="1" t="s">
        <v>4</v>
      </c>
      <c r="B6">
        <v>67.746289900000022</v>
      </c>
      <c r="C6">
        <v>843.01913989009972</v>
      </c>
      <c r="D6">
        <v>0</v>
      </c>
      <c r="E6">
        <v>0</v>
      </c>
      <c r="F6">
        <v>0</v>
      </c>
      <c r="G6">
        <v>0</v>
      </c>
      <c r="H6">
        <v>0</v>
      </c>
      <c r="J6">
        <v>0</v>
      </c>
      <c r="L6">
        <v>2714.2574999150997</v>
      </c>
      <c r="N6">
        <v>43.748989399999999</v>
      </c>
      <c r="O6">
        <v>1422.789862655</v>
      </c>
      <c r="P6">
        <v>9.8177638999999992</v>
      </c>
      <c r="Q6">
        <v>41.44985887</v>
      </c>
      <c r="R6">
        <v>49.956638499999997</v>
      </c>
      <c r="S6">
        <v>50.733673699999997</v>
      </c>
      <c r="T6">
        <v>320.48786289999998</v>
      </c>
      <c r="U6">
        <v>0</v>
      </c>
      <c r="V6" s="3">
        <f t="shared" si="0"/>
        <v>2782.0037898150999</v>
      </c>
      <c r="W6" s="3">
        <f t="shared" si="1"/>
        <v>2782.0037898150981</v>
      </c>
      <c r="X6" s="3">
        <f t="shared" si="2"/>
        <v>0</v>
      </c>
    </row>
    <row r="7" spans="1:24">
      <c r="A7" s="2" t="s">
        <v>5</v>
      </c>
      <c r="B7">
        <v>58.426659999999984</v>
      </c>
      <c r="C7">
        <v>26.521819999999995</v>
      </c>
      <c r="D7">
        <v>0</v>
      </c>
      <c r="E7">
        <v>329.22451999999998</v>
      </c>
      <c r="F7">
        <v>0.51617999999999997</v>
      </c>
      <c r="G7">
        <v>0</v>
      </c>
      <c r="H7">
        <v>0</v>
      </c>
      <c r="J7">
        <v>0</v>
      </c>
      <c r="L7">
        <v>2547.1327339999998</v>
      </c>
      <c r="N7">
        <v>30.712709999999994</v>
      </c>
      <c r="O7">
        <v>1769.1535449999997</v>
      </c>
      <c r="P7">
        <v>16.214336999999997</v>
      </c>
      <c r="Q7">
        <v>37.759118000000001</v>
      </c>
      <c r="R7">
        <v>49.454556999999994</v>
      </c>
      <c r="S7">
        <v>146.10963299999997</v>
      </c>
      <c r="T7">
        <v>859.37437399999999</v>
      </c>
      <c r="U7">
        <v>0</v>
      </c>
      <c r="V7" s="3">
        <f t="shared" si="0"/>
        <v>2935.3000939999997</v>
      </c>
      <c r="W7" s="3">
        <f t="shared" si="1"/>
        <v>2935.3000940000002</v>
      </c>
      <c r="X7" s="3">
        <f t="shared" si="2"/>
        <v>0</v>
      </c>
    </row>
    <row r="8" spans="1:24">
      <c r="A8" s="1" t="s">
        <v>6</v>
      </c>
      <c r="B8">
        <v>90.071918000000011</v>
      </c>
      <c r="C8">
        <v>47.181309999999996</v>
      </c>
      <c r="D8">
        <v>0</v>
      </c>
      <c r="E8">
        <v>0</v>
      </c>
      <c r="F8">
        <v>0</v>
      </c>
      <c r="G8">
        <v>0</v>
      </c>
      <c r="H8">
        <v>0</v>
      </c>
      <c r="J8">
        <v>0</v>
      </c>
      <c r="L8">
        <v>1059.351791</v>
      </c>
      <c r="N8">
        <v>10.71688</v>
      </c>
      <c r="O8">
        <v>781.72730899999999</v>
      </c>
      <c r="P8">
        <v>5.7404639999999993</v>
      </c>
      <c r="Q8">
        <v>26.571325999999999</v>
      </c>
      <c r="R8">
        <v>20.848752999999999</v>
      </c>
      <c r="S8">
        <v>48.736486999999997</v>
      </c>
      <c r="T8">
        <v>207.90152099999986</v>
      </c>
      <c r="U8">
        <v>0</v>
      </c>
      <c r="V8" s="3">
        <f t="shared" si="0"/>
        <v>1149.4237090000001</v>
      </c>
      <c r="W8" s="3">
        <f t="shared" si="1"/>
        <v>1149.4240499999996</v>
      </c>
      <c r="X8" s="3">
        <f t="shared" si="2"/>
        <v>-3.4099999948011828E-4</v>
      </c>
    </row>
    <row r="9" spans="1:24">
      <c r="A9" s="1" t="s">
        <v>7</v>
      </c>
      <c r="B9">
        <v>17.218289999999996</v>
      </c>
      <c r="C9">
        <v>169.22100999999998</v>
      </c>
      <c r="D9">
        <v>4.9159999999999995E-2</v>
      </c>
      <c r="E9">
        <v>0.55304999999999993</v>
      </c>
      <c r="F9">
        <v>82.220100000000002</v>
      </c>
      <c r="G9">
        <v>0</v>
      </c>
      <c r="H9">
        <v>0</v>
      </c>
      <c r="J9">
        <v>0</v>
      </c>
      <c r="L9">
        <v>1341.3787649999997</v>
      </c>
      <c r="N9">
        <v>19.885219999999997</v>
      </c>
      <c r="O9">
        <v>702.47157099999993</v>
      </c>
      <c r="P9">
        <v>4.47356</v>
      </c>
      <c r="Q9">
        <v>10.815199999999999</v>
      </c>
      <c r="R9">
        <v>18.484159999999996</v>
      </c>
      <c r="S9">
        <v>46.026049999999998</v>
      </c>
      <c r="T9">
        <v>469.94427400000012</v>
      </c>
      <c r="U9">
        <v>0</v>
      </c>
      <c r="V9" s="3">
        <f t="shared" si="0"/>
        <v>1441.3702049999997</v>
      </c>
      <c r="W9" s="3">
        <f t="shared" si="1"/>
        <v>1441.3702049999995</v>
      </c>
      <c r="X9" s="3">
        <f t="shared" si="2"/>
        <v>0</v>
      </c>
    </row>
    <row r="10" spans="1:24">
      <c r="A10" s="1" t="s">
        <v>8</v>
      </c>
      <c r="B10">
        <v>19.141999999999975</v>
      </c>
      <c r="C10">
        <v>19.946669999999997</v>
      </c>
      <c r="D10">
        <v>0</v>
      </c>
      <c r="E10">
        <v>426.18372599999998</v>
      </c>
      <c r="F10">
        <v>0</v>
      </c>
      <c r="G10">
        <v>0</v>
      </c>
      <c r="H10">
        <v>0</v>
      </c>
      <c r="J10">
        <v>0</v>
      </c>
      <c r="L10">
        <v>1123.0206949999999</v>
      </c>
      <c r="N10">
        <v>6.4768299999999988</v>
      </c>
      <c r="O10">
        <v>1013.0052499999999</v>
      </c>
      <c r="P10">
        <v>23.123595999999996</v>
      </c>
      <c r="Q10">
        <v>24.856004999999996</v>
      </c>
      <c r="R10">
        <v>78.755261000000004</v>
      </c>
      <c r="S10">
        <v>162.26149599999999</v>
      </c>
      <c r="T10">
        <v>239.92131299999977</v>
      </c>
      <c r="U10">
        <v>0</v>
      </c>
      <c r="V10" s="3">
        <f t="shared" si="0"/>
        <v>1568.346421</v>
      </c>
      <c r="W10" s="3">
        <f t="shared" si="1"/>
        <v>1568.3464209999995</v>
      </c>
      <c r="X10" s="3">
        <f t="shared" si="2"/>
        <v>0</v>
      </c>
    </row>
    <row r="11" spans="1:24">
      <c r="A11" s="1" t="s">
        <v>9</v>
      </c>
      <c r="B11">
        <v>131.12200999999999</v>
      </c>
      <c r="C11">
        <v>238.25394</v>
      </c>
      <c r="D11">
        <v>0</v>
      </c>
      <c r="E11">
        <v>393.95594999999997</v>
      </c>
      <c r="F11">
        <v>0</v>
      </c>
      <c r="G11">
        <v>0</v>
      </c>
      <c r="H11">
        <v>0</v>
      </c>
      <c r="J11">
        <v>0</v>
      </c>
      <c r="L11">
        <v>4192.6262259999994</v>
      </c>
      <c r="N11">
        <v>30.073629999999994</v>
      </c>
      <c r="O11">
        <v>3521.2573009999996</v>
      </c>
      <c r="P11">
        <v>28.930659999999996</v>
      </c>
      <c r="Q11">
        <v>23.965499999999999</v>
      </c>
      <c r="R11">
        <v>90.294629999999984</v>
      </c>
      <c r="S11">
        <v>172.18289999999996</v>
      </c>
      <c r="T11">
        <v>612.74562500000036</v>
      </c>
      <c r="U11">
        <v>0</v>
      </c>
      <c r="V11" s="3">
        <f t="shared" si="0"/>
        <v>4717.704185999999</v>
      </c>
      <c r="W11" s="3">
        <f t="shared" si="1"/>
        <v>4717.7041859999999</v>
      </c>
      <c r="X11" s="3">
        <f t="shared" si="2"/>
        <v>0</v>
      </c>
    </row>
    <row r="12" spans="1:24">
      <c r="A12" s="1" t="s">
        <v>10</v>
      </c>
      <c r="B12">
        <v>477.86727119</v>
      </c>
      <c r="C12">
        <v>76.016060870000132</v>
      </c>
      <c r="D12">
        <v>0</v>
      </c>
      <c r="E12">
        <v>209.87338040000074</v>
      </c>
      <c r="F12">
        <v>0</v>
      </c>
      <c r="G12">
        <v>0</v>
      </c>
      <c r="H12">
        <v>0</v>
      </c>
      <c r="J12">
        <v>0</v>
      </c>
      <c r="L12">
        <v>3312.2584338899997</v>
      </c>
      <c r="N12">
        <v>19.223034799999997</v>
      </c>
      <c r="O12">
        <v>2950.3762146799995</v>
      </c>
      <c r="P12">
        <v>29.011282399999995</v>
      </c>
      <c r="Q12">
        <v>20.573672029999997</v>
      </c>
      <c r="R12">
        <v>248.81184379999999</v>
      </c>
      <c r="S12">
        <v>179.33324779999998</v>
      </c>
      <c r="T12">
        <v>476.65372910000048</v>
      </c>
      <c r="U12">
        <v>0</v>
      </c>
      <c r="V12" s="3">
        <f t="shared" si="0"/>
        <v>3999.9990854800003</v>
      </c>
      <c r="W12" s="3">
        <f t="shared" si="1"/>
        <v>3999.9990854799998</v>
      </c>
      <c r="X12" s="3">
        <f t="shared" si="2"/>
        <v>0</v>
      </c>
    </row>
    <row r="13" spans="1:24">
      <c r="A13" s="1" t="s">
        <v>11</v>
      </c>
      <c r="B13">
        <v>18.017139999999994</v>
      </c>
      <c r="C13">
        <v>130.96053939930246</v>
      </c>
      <c r="D13">
        <v>0</v>
      </c>
      <c r="E13">
        <v>8.8365099999999988</v>
      </c>
      <c r="F13">
        <v>0</v>
      </c>
      <c r="G13">
        <v>0</v>
      </c>
      <c r="H13">
        <v>0</v>
      </c>
      <c r="J13">
        <v>0</v>
      </c>
      <c r="L13">
        <v>1217.3707391299001</v>
      </c>
      <c r="N13">
        <v>14.758815199999999</v>
      </c>
      <c r="O13">
        <v>835.87660823059753</v>
      </c>
      <c r="P13">
        <v>9.5532627999999988</v>
      </c>
      <c r="Q13">
        <v>10.9951256</v>
      </c>
      <c r="R13">
        <v>23.679265899999997</v>
      </c>
      <c r="S13">
        <v>42.417460200000001</v>
      </c>
      <c r="T13">
        <v>175.98331179999988</v>
      </c>
      <c r="U13">
        <v>0</v>
      </c>
      <c r="V13" s="3">
        <f t="shared" si="0"/>
        <v>1244.2243891299001</v>
      </c>
      <c r="W13" s="3">
        <f t="shared" si="1"/>
        <v>1244.2243891298992</v>
      </c>
      <c r="X13" s="3">
        <f t="shared" si="2"/>
        <v>0</v>
      </c>
    </row>
    <row r="14" spans="1:24">
      <c r="A14" s="1" t="s">
        <v>12</v>
      </c>
      <c r="B14">
        <v>404.11873299999996</v>
      </c>
      <c r="C14">
        <v>49.811369999999997</v>
      </c>
      <c r="D14">
        <v>0</v>
      </c>
      <c r="E14">
        <v>1.9418199999999999</v>
      </c>
      <c r="F14">
        <v>0</v>
      </c>
      <c r="G14">
        <v>0</v>
      </c>
      <c r="H14">
        <v>0</v>
      </c>
      <c r="J14">
        <v>0</v>
      </c>
      <c r="L14">
        <v>1011.1580639999999</v>
      </c>
      <c r="N14">
        <v>13.101139999999999</v>
      </c>
      <c r="O14">
        <v>916.02012699999989</v>
      </c>
      <c r="P14">
        <v>17.119969999999999</v>
      </c>
      <c r="Q14">
        <v>15.841809999999999</v>
      </c>
      <c r="R14">
        <v>39.278839999999995</v>
      </c>
      <c r="S14">
        <v>73.260689999999997</v>
      </c>
      <c r="T14">
        <v>292.78467000000001</v>
      </c>
      <c r="U14">
        <v>0</v>
      </c>
      <c r="V14" s="3">
        <f t="shared" si="0"/>
        <v>1417.2186169999998</v>
      </c>
      <c r="W14" s="3">
        <f t="shared" si="1"/>
        <v>1417.2186169999995</v>
      </c>
      <c r="X14" s="3">
        <f t="shared" si="2"/>
        <v>0</v>
      </c>
    </row>
    <row r="15" spans="1:24">
      <c r="A15" s="1" t="s">
        <v>13</v>
      </c>
      <c r="B15">
        <v>95.739099999999993</v>
      </c>
      <c r="C15">
        <v>5.6411099999999994</v>
      </c>
      <c r="D15">
        <v>0</v>
      </c>
      <c r="E15">
        <v>26.337469999999996</v>
      </c>
      <c r="F15">
        <v>0</v>
      </c>
      <c r="G15">
        <v>0</v>
      </c>
      <c r="H15">
        <v>0</v>
      </c>
      <c r="J15">
        <v>0</v>
      </c>
      <c r="L15">
        <v>586.52950800000008</v>
      </c>
      <c r="N15">
        <v>26.226859999999999</v>
      </c>
      <c r="O15">
        <v>461.85974799999997</v>
      </c>
      <c r="P15">
        <v>4.8914199999999992</v>
      </c>
      <c r="Q15">
        <v>9.3895599999999995</v>
      </c>
      <c r="R15">
        <v>16.57921</v>
      </c>
      <c r="S15">
        <v>29.459129999999995</v>
      </c>
      <c r="T15">
        <v>154.55904000000004</v>
      </c>
      <c r="U15">
        <v>0</v>
      </c>
      <c r="V15" s="3">
        <f t="shared" si="0"/>
        <v>708.60607800000002</v>
      </c>
      <c r="W15" s="3">
        <f t="shared" si="1"/>
        <v>708.60607800000025</v>
      </c>
      <c r="X15" s="3">
        <f t="shared" si="2"/>
        <v>0</v>
      </c>
    </row>
    <row r="16" spans="1:24">
      <c r="A16" s="1" t="s">
        <v>14</v>
      </c>
      <c r="B16">
        <v>23.465969999999999</v>
      </c>
      <c r="C16">
        <v>12.695868869099751</v>
      </c>
      <c r="D16">
        <v>0</v>
      </c>
      <c r="E16">
        <v>0</v>
      </c>
      <c r="F16">
        <v>0</v>
      </c>
      <c r="G16">
        <v>0</v>
      </c>
      <c r="H16">
        <v>0</v>
      </c>
      <c r="J16">
        <v>0</v>
      </c>
      <c r="L16">
        <v>5155.3105567919993</v>
      </c>
      <c r="N16">
        <v>86.731203499999992</v>
      </c>
      <c r="O16">
        <v>4159.3907872228992</v>
      </c>
      <c r="P16">
        <v>38.571764700000003</v>
      </c>
      <c r="Q16">
        <v>40.925779499999997</v>
      </c>
      <c r="R16">
        <v>129.49971779999998</v>
      </c>
      <c r="S16">
        <v>166.5243777</v>
      </c>
      <c r="T16">
        <v>544.43702750000034</v>
      </c>
      <c r="U16">
        <v>0</v>
      </c>
      <c r="V16" s="3">
        <f t="shared" si="0"/>
        <v>5178.7765267919995</v>
      </c>
      <c r="W16" s="3">
        <f t="shared" si="1"/>
        <v>5178.7765267919967</v>
      </c>
      <c r="X16" s="3">
        <f t="shared" si="2"/>
        <v>0</v>
      </c>
    </row>
    <row r="17" spans="1:24">
      <c r="A17" s="1" t="s">
        <v>15</v>
      </c>
      <c r="B17">
        <v>105.06735999999998</v>
      </c>
      <c r="C17">
        <v>109.42112600000003</v>
      </c>
      <c r="D17">
        <v>0</v>
      </c>
      <c r="E17">
        <v>51.728609999999996</v>
      </c>
      <c r="F17">
        <v>0</v>
      </c>
      <c r="G17">
        <v>0</v>
      </c>
      <c r="H17">
        <v>0</v>
      </c>
      <c r="J17">
        <v>0</v>
      </c>
      <c r="L17">
        <v>2711.9873899999993</v>
      </c>
      <c r="N17">
        <v>91.550717999999989</v>
      </c>
      <c r="O17">
        <v>2046.6347490000001</v>
      </c>
      <c r="P17">
        <v>10.148419999999998</v>
      </c>
      <c r="Q17">
        <v>45.213228999999998</v>
      </c>
      <c r="R17">
        <v>46.688041999999996</v>
      </c>
      <c r="S17">
        <v>81.082799999999992</v>
      </c>
      <c r="T17">
        <v>438.04427599999997</v>
      </c>
      <c r="U17">
        <v>0</v>
      </c>
      <c r="V17" s="3">
        <f t="shared" si="0"/>
        <v>2868.7833599999994</v>
      </c>
      <c r="W17" s="3">
        <f t="shared" si="1"/>
        <v>2868.7833600000004</v>
      </c>
      <c r="X17" s="3">
        <f t="shared" si="2"/>
        <v>0</v>
      </c>
    </row>
    <row r="18" spans="1:24">
      <c r="A18" s="1" t="s">
        <v>16</v>
      </c>
      <c r="B18">
        <v>1118.5251899999998</v>
      </c>
      <c r="C18">
        <v>820.16085999999996</v>
      </c>
      <c r="D18">
        <v>0</v>
      </c>
      <c r="E18">
        <v>141.62995999999998</v>
      </c>
      <c r="F18">
        <v>0</v>
      </c>
      <c r="G18">
        <v>0</v>
      </c>
      <c r="H18">
        <v>0</v>
      </c>
      <c r="J18">
        <v>0</v>
      </c>
      <c r="L18">
        <v>1074.547139</v>
      </c>
      <c r="N18">
        <v>46.59138999999999</v>
      </c>
      <c r="O18">
        <v>1169.2538789999999</v>
      </c>
      <c r="P18">
        <v>10.74146</v>
      </c>
      <c r="Q18">
        <v>14.661969999999998</v>
      </c>
      <c r="R18">
        <v>45.718800000000002</v>
      </c>
      <c r="S18">
        <v>54.481569999999991</v>
      </c>
      <c r="T18">
        <v>173.0923600000001</v>
      </c>
      <c r="U18">
        <v>0</v>
      </c>
      <c r="V18" s="3">
        <f t="shared" si="0"/>
        <v>2334.7022889999998</v>
      </c>
      <c r="W18" s="3">
        <f t="shared" si="1"/>
        <v>2334.7022889999998</v>
      </c>
      <c r="X18" s="3">
        <f t="shared" si="2"/>
        <v>0</v>
      </c>
    </row>
    <row r="19" spans="1:24">
      <c r="A19" s="1" t="s">
        <v>17</v>
      </c>
      <c r="B19">
        <v>422.53504699999996</v>
      </c>
      <c r="C19">
        <v>108.39779999999999</v>
      </c>
      <c r="D19">
        <v>0</v>
      </c>
      <c r="E19">
        <v>161.23250999999999</v>
      </c>
      <c r="F19">
        <v>0</v>
      </c>
      <c r="G19">
        <v>0</v>
      </c>
      <c r="H19">
        <v>0</v>
      </c>
      <c r="J19">
        <v>0</v>
      </c>
      <c r="L19">
        <v>815.52234599999986</v>
      </c>
      <c r="N19">
        <v>89.397459999999981</v>
      </c>
      <c r="O19">
        <v>792.53260299999988</v>
      </c>
      <c r="P19">
        <v>8.7258999999999993</v>
      </c>
      <c r="Q19">
        <v>29.766379999999995</v>
      </c>
      <c r="R19">
        <v>23.768859999999997</v>
      </c>
      <c r="S19">
        <v>51.962119999999999</v>
      </c>
      <c r="T19">
        <v>294.73877999999991</v>
      </c>
      <c r="U19">
        <v>0</v>
      </c>
      <c r="V19" s="3">
        <f t="shared" si="0"/>
        <v>1399.2899029999999</v>
      </c>
      <c r="W19" s="3">
        <f t="shared" si="1"/>
        <v>1399.2899029999999</v>
      </c>
      <c r="X19" s="3">
        <f t="shared" si="2"/>
        <v>0</v>
      </c>
    </row>
    <row r="20" spans="1:24">
      <c r="A20" s="1" t="s">
        <v>18</v>
      </c>
      <c r="B20">
        <v>539.85053999999991</v>
      </c>
      <c r="C20">
        <v>5.1495552028708733</v>
      </c>
      <c r="D20">
        <v>145.46444</v>
      </c>
      <c r="E20">
        <v>964.18736999999987</v>
      </c>
      <c r="F20">
        <v>49.590149999999994</v>
      </c>
      <c r="G20">
        <v>0</v>
      </c>
      <c r="H20">
        <v>0</v>
      </c>
      <c r="J20">
        <v>0</v>
      </c>
      <c r="L20">
        <v>2963.6994169999998</v>
      </c>
      <c r="N20">
        <v>90.83538999999999</v>
      </c>
      <c r="O20">
        <v>2823.6548217971294</v>
      </c>
      <c r="P20">
        <v>53.043639999999989</v>
      </c>
      <c r="Q20">
        <v>45.767959999999995</v>
      </c>
      <c r="R20">
        <v>231.02741999999995</v>
      </c>
      <c r="S20">
        <v>337.27446999999995</v>
      </c>
      <c r="T20">
        <v>785.10977999999932</v>
      </c>
      <c r="U20">
        <v>0</v>
      </c>
      <c r="V20" s="3">
        <f t="shared" si="0"/>
        <v>4517.3274769999998</v>
      </c>
      <c r="W20" s="3">
        <f t="shared" si="1"/>
        <v>4517.3274769999998</v>
      </c>
      <c r="X20" s="3">
        <f t="shared" si="2"/>
        <v>0</v>
      </c>
    </row>
    <row r="21" spans="1:24">
      <c r="A21" s="1" t="s">
        <v>19</v>
      </c>
      <c r="B21">
        <v>398.7634195</v>
      </c>
      <c r="C21">
        <v>82.589291599999996</v>
      </c>
      <c r="D21">
        <v>0</v>
      </c>
      <c r="E21">
        <v>78.183203700000107</v>
      </c>
      <c r="F21">
        <v>0</v>
      </c>
      <c r="G21">
        <v>0</v>
      </c>
      <c r="H21">
        <v>0</v>
      </c>
      <c r="J21">
        <v>0</v>
      </c>
      <c r="L21">
        <v>536.5056151</v>
      </c>
      <c r="N21">
        <v>21.579519399999995</v>
      </c>
      <c r="O21">
        <v>668.56571099999996</v>
      </c>
      <c r="P21">
        <v>5.6714662999999996</v>
      </c>
      <c r="Q21">
        <v>8.7872270999999991</v>
      </c>
      <c r="R21">
        <v>19.585221099999998</v>
      </c>
      <c r="S21">
        <v>35.693232499999993</v>
      </c>
      <c r="T21">
        <v>170.9805693000001</v>
      </c>
      <c r="U21">
        <v>0</v>
      </c>
      <c r="V21" s="3">
        <f t="shared" si="0"/>
        <v>1013.4522383000001</v>
      </c>
      <c r="W21" s="3">
        <f t="shared" si="1"/>
        <v>1013.4522383</v>
      </c>
      <c r="X21" s="3">
        <f t="shared" si="2"/>
        <v>0</v>
      </c>
    </row>
    <row r="22" spans="1:24">
      <c r="A22" s="1" t="s">
        <v>20</v>
      </c>
      <c r="B22">
        <v>16.087609999999998</v>
      </c>
      <c r="C22">
        <v>1.9436999999999767E-2</v>
      </c>
      <c r="D22">
        <v>0</v>
      </c>
      <c r="E22">
        <v>2.3105199999999941</v>
      </c>
      <c r="F22">
        <v>0</v>
      </c>
      <c r="G22">
        <v>0</v>
      </c>
      <c r="H22">
        <v>0</v>
      </c>
      <c r="J22">
        <v>0</v>
      </c>
      <c r="L22">
        <v>129.97845699999999</v>
      </c>
      <c r="N22">
        <v>7.3002599999999997</v>
      </c>
      <c r="O22">
        <v>79.864979999999989</v>
      </c>
      <c r="P22">
        <v>1.11839</v>
      </c>
      <c r="Q22">
        <v>1.8803699999999999</v>
      </c>
      <c r="R22">
        <v>9.8197099999999988</v>
      </c>
      <c r="S22">
        <v>20.991319999999995</v>
      </c>
      <c r="T22">
        <v>27.382119999999997</v>
      </c>
      <c r="U22">
        <v>0</v>
      </c>
      <c r="V22" s="3">
        <f t="shared" si="0"/>
        <v>148.37658699999997</v>
      </c>
      <c r="W22" s="3">
        <f t="shared" si="1"/>
        <v>148.37658699999997</v>
      </c>
      <c r="X22" s="3">
        <f t="shared" si="2"/>
        <v>0</v>
      </c>
    </row>
    <row r="23" spans="1:24">
      <c r="A23" s="1" t="s">
        <v>21</v>
      </c>
      <c r="B23">
        <v>75.165639999999982</v>
      </c>
      <c r="C23">
        <v>63.785099999999993</v>
      </c>
      <c r="D23">
        <v>0</v>
      </c>
      <c r="E23">
        <v>179.59376999999998</v>
      </c>
      <c r="F23">
        <v>0</v>
      </c>
      <c r="G23">
        <v>0</v>
      </c>
      <c r="H23">
        <v>0</v>
      </c>
      <c r="J23">
        <v>0</v>
      </c>
      <c r="L23">
        <v>429.10358999999994</v>
      </c>
      <c r="N23">
        <v>2.5071599999999998</v>
      </c>
      <c r="O23">
        <v>399.21430999999995</v>
      </c>
      <c r="P23">
        <v>14.231819999999999</v>
      </c>
      <c r="Q23">
        <v>9.831999999999999</v>
      </c>
      <c r="R23">
        <v>24.936409999999995</v>
      </c>
      <c r="S23">
        <v>36.144889999999997</v>
      </c>
      <c r="T23">
        <v>133.21130999999994</v>
      </c>
      <c r="U23">
        <v>0</v>
      </c>
      <c r="V23" s="3">
        <f t="shared" si="0"/>
        <v>683.86299999999994</v>
      </c>
      <c r="W23" s="3">
        <f t="shared" si="1"/>
        <v>683.86300000000006</v>
      </c>
      <c r="X23" s="3">
        <f t="shared" si="2"/>
        <v>0</v>
      </c>
    </row>
    <row r="24" spans="1:24">
      <c r="A24" s="1" t="s">
        <v>22</v>
      </c>
      <c r="B24">
        <v>952.95431000000008</v>
      </c>
      <c r="C24">
        <v>104.29293999999999</v>
      </c>
      <c r="D24">
        <v>0</v>
      </c>
      <c r="E24">
        <v>44.305449999999993</v>
      </c>
      <c r="F24">
        <v>0</v>
      </c>
      <c r="G24">
        <v>0</v>
      </c>
      <c r="H24">
        <v>0</v>
      </c>
      <c r="J24">
        <v>0</v>
      </c>
      <c r="L24">
        <v>666.43481099999997</v>
      </c>
      <c r="N24">
        <v>21.753299999999996</v>
      </c>
      <c r="O24">
        <v>1051.7534129999999</v>
      </c>
      <c r="P24">
        <v>20.548879999999997</v>
      </c>
      <c r="Q24">
        <v>27.910589999999999</v>
      </c>
      <c r="R24">
        <v>37.214119999999994</v>
      </c>
      <c r="S24">
        <v>64.46105</v>
      </c>
      <c r="T24">
        <v>335.76027799999991</v>
      </c>
      <c r="U24">
        <v>0</v>
      </c>
      <c r="V24" s="3">
        <f t="shared" si="0"/>
        <v>1663.6945710000002</v>
      </c>
      <c r="W24" s="3">
        <f t="shared" si="1"/>
        <v>1663.6945709999995</v>
      </c>
      <c r="X24" s="3">
        <f t="shared" si="2"/>
        <v>0</v>
      </c>
    </row>
    <row r="25" spans="1:24">
      <c r="A25" s="1" t="s">
        <v>23</v>
      </c>
      <c r="B25">
        <v>371.37044699999996</v>
      </c>
      <c r="C25">
        <v>465.07817999999997</v>
      </c>
      <c r="D25">
        <v>0</v>
      </c>
      <c r="E25">
        <v>0.12363739999999998</v>
      </c>
      <c r="F25">
        <v>0</v>
      </c>
      <c r="G25">
        <v>0</v>
      </c>
      <c r="H25">
        <v>0</v>
      </c>
      <c r="J25">
        <v>0</v>
      </c>
      <c r="L25">
        <v>1094.5564879999999</v>
      </c>
      <c r="N25">
        <v>6.5505699999999996</v>
      </c>
      <c r="O25">
        <v>783.17833499999995</v>
      </c>
      <c r="P25">
        <v>8.4432299999999998</v>
      </c>
      <c r="Q25">
        <v>24.530839999999998</v>
      </c>
      <c r="R25">
        <v>10.028639999999999</v>
      </c>
      <c r="S25">
        <v>19.491939999999996</v>
      </c>
      <c r="T25">
        <v>148.74809999999991</v>
      </c>
      <c r="U25">
        <v>0</v>
      </c>
      <c r="V25" s="3">
        <f t="shared" si="0"/>
        <v>1466.0505724</v>
      </c>
      <c r="W25" s="3">
        <f t="shared" si="1"/>
        <v>1466.049835</v>
      </c>
      <c r="X25" s="3">
        <f t="shared" si="2"/>
        <v>7.3739999993449601E-4</v>
      </c>
    </row>
    <row r="26" spans="1:24">
      <c r="A26" s="1" t="s">
        <v>24</v>
      </c>
      <c r="B26">
        <v>529.64984000000004</v>
      </c>
      <c r="C26">
        <v>172.42869999999999</v>
      </c>
      <c r="D26">
        <v>31.413239999999995</v>
      </c>
      <c r="E26">
        <v>8.4433642516999985</v>
      </c>
      <c r="F26">
        <v>0</v>
      </c>
      <c r="G26">
        <v>0</v>
      </c>
      <c r="H26">
        <v>0</v>
      </c>
      <c r="J26">
        <v>0</v>
      </c>
      <c r="L26">
        <v>611.83726999999999</v>
      </c>
      <c r="N26">
        <v>18.668509999999998</v>
      </c>
      <c r="O26">
        <v>675.34062174096664</v>
      </c>
      <c r="P26">
        <v>15.276469999999998</v>
      </c>
      <c r="Q26">
        <v>16.099899999999998</v>
      </c>
      <c r="R26">
        <v>13.445259999999998</v>
      </c>
      <c r="S26">
        <v>22.036310999999998</v>
      </c>
      <c r="T26">
        <v>185.22259</v>
      </c>
      <c r="U26">
        <v>0</v>
      </c>
      <c r="V26" s="3">
        <f t="shared" si="0"/>
        <v>1149.9304742516999</v>
      </c>
      <c r="W26" s="3">
        <f t="shared" si="1"/>
        <v>1149.9316027409666</v>
      </c>
      <c r="X26" s="3">
        <f t="shared" si="2"/>
        <v>-1.1284892666481028E-3</v>
      </c>
    </row>
    <row r="27" spans="1:24">
      <c r="A27" s="1" t="s">
        <v>25</v>
      </c>
      <c r="B27">
        <v>106.54200999999999</v>
      </c>
      <c r="C27">
        <v>246.68559399999995</v>
      </c>
      <c r="D27">
        <v>0</v>
      </c>
      <c r="E27">
        <v>0</v>
      </c>
      <c r="F27">
        <v>0</v>
      </c>
      <c r="G27">
        <v>0</v>
      </c>
      <c r="H27">
        <v>0</v>
      </c>
      <c r="J27">
        <v>0</v>
      </c>
      <c r="L27">
        <v>1053.6599999999999</v>
      </c>
      <c r="N27">
        <v>44.26858</v>
      </c>
      <c r="O27">
        <v>543.26375599999994</v>
      </c>
      <c r="P27">
        <v>13.13002</v>
      </c>
      <c r="Q27">
        <v>40.08997999999999</v>
      </c>
      <c r="R27">
        <v>21.642689999999998</v>
      </c>
      <c r="S27">
        <v>49.345529999999989</v>
      </c>
      <c r="T27">
        <v>201.77586000000008</v>
      </c>
      <c r="U27">
        <v>0</v>
      </c>
      <c r="V27" s="3">
        <f t="shared" si="0"/>
        <v>1160.2020099999997</v>
      </c>
      <c r="W27" s="3">
        <f t="shared" si="1"/>
        <v>1160.20201</v>
      </c>
      <c r="X27" s="3">
        <f t="shared" si="2"/>
        <v>0</v>
      </c>
    </row>
    <row r="28" spans="1:24">
      <c r="A28" s="1" t="s">
        <v>26</v>
      </c>
      <c r="B28">
        <v>238.90530999999999</v>
      </c>
      <c r="C28">
        <v>4.9405799999999989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L28">
        <v>770.03708899999992</v>
      </c>
      <c r="N28">
        <v>64.706849999999989</v>
      </c>
      <c r="O28">
        <v>726.53138999999987</v>
      </c>
      <c r="P28">
        <v>5.4813399999999994</v>
      </c>
      <c r="Q28">
        <v>30.245689999999996</v>
      </c>
      <c r="R28">
        <v>9.3649799999999992</v>
      </c>
      <c r="S28">
        <v>19.971249999999998</v>
      </c>
      <c r="T28">
        <v>147.70031900000001</v>
      </c>
      <c r="U28">
        <v>0</v>
      </c>
      <c r="V28" s="3">
        <f t="shared" si="0"/>
        <v>1008.9423989999999</v>
      </c>
      <c r="W28" s="3">
        <f t="shared" si="1"/>
        <v>1008.942399</v>
      </c>
      <c r="X28" s="3">
        <f t="shared" si="2"/>
        <v>0</v>
      </c>
    </row>
    <row r="29" spans="1:24">
      <c r="A29" s="1" t="s">
        <v>27</v>
      </c>
      <c r="B29">
        <v>232.15674809999996</v>
      </c>
      <c r="C29">
        <v>42.658589999999997</v>
      </c>
      <c r="D29">
        <v>0</v>
      </c>
      <c r="E29">
        <v>61.231975277100027</v>
      </c>
      <c r="F29">
        <v>0</v>
      </c>
      <c r="G29">
        <v>0</v>
      </c>
      <c r="H29">
        <v>0</v>
      </c>
      <c r="J29">
        <v>0</v>
      </c>
      <c r="L29">
        <v>108.28904199999998</v>
      </c>
      <c r="N29">
        <v>0.88955019999999996</v>
      </c>
      <c r="O29">
        <v>322.9812</v>
      </c>
      <c r="P29">
        <v>2.8144099999999996</v>
      </c>
      <c r="Q29">
        <v>1.2446082999999999</v>
      </c>
      <c r="R29">
        <v>3.0470596999999993</v>
      </c>
      <c r="S29">
        <v>6.7314787999999988</v>
      </c>
      <c r="T29">
        <v>21.310868499999984</v>
      </c>
      <c r="U29">
        <v>0</v>
      </c>
      <c r="V29" s="3">
        <f t="shared" si="0"/>
        <v>401.6777653771</v>
      </c>
      <c r="W29" s="3">
        <f t="shared" si="1"/>
        <v>401.67776549999991</v>
      </c>
      <c r="X29" s="3">
        <f t="shared" si="2"/>
        <v>-1.2289990536373807E-7</v>
      </c>
    </row>
    <row r="30" spans="1:24">
      <c r="A30" s="1" t="s">
        <v>28</v>
      </c>
      <c r="B30">
        <v>24.481680000000001</v>
      </c>
      <c r="C30">
        <v>24.39565</v>
      </c>
      <c r="D30">
        <v>0</v>
      </c>
      <c r="E30">
        <v>10.398569000000041</v>
      </c>
      <c r="F30">
        <v>0</v>
      </c>
      <c r="G30">
        <v>0</v>
      </c>
      <c r="H30">
        <v>0</v>
      </c>
      <c r="J30">
        <v>0</v>
      </c>
      <c r="L30">
        <v>587.72731999999996</v>
      </c>
      <c r="N30">
        <v>12.732439999999999</v>
      </c>
      <c r="O30">
        <v>489.88927899999993</v>
      </c>
      <c r="P30">
        <v>3.5594199999999994</v>
      </c>
      <c r="Q30">
        <v>8.7695509999999999</v>
      </c>
      <c r="R30">
        <v>10.268573999999999</v>
      </c>
      <c r="S30">
        <v>13.373405</v>
      </c>
      <c r="T30">
        <v>59.619250000000022</v>
      </c>
      <c r="U30">
        <v>0</v>
      </c>
      <c r="V30" s="3">
        <f t="shared" si="0"/>
        <v>622.60756900000001</v>
      </c>
      <c r="W30" s="3">
        <f t="shared" si="1"/>
        <v>622.60756900000001</v>
      </c>
      <c r="X30" s="3">
        <f t="shared" si="2"/>
        <v>0</v>
      </c>
    </row>
    <row r="31" spans="1:24">
      <c r="A31" s="1" t="s">
        <v>29</v>
      </c>
      <c r="B31">
        <v>79.553169999999994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919.67077199999994</v>
      </c>
      <c r="N31">
        <v>46.517649999999996</v>
      </c>
      <c r="O31">
        <v>625.45541900000001</v>
      </c>
      <c r="P31">
        <v>4.1313699999999995</v>
      </c>
      <c r="Q31">
        <v>14.81671</v>
      </c>
      <c r="R31">
        <v>24.782499999999995</v>
      </c>
      <c r="S31">
        <v>28.252099999999999</v>
      </c>
      <c r="T31">
        <v>255.26819299999988</v>
      </c>
      <c r="U31">
        <v>0</v>
      </c>
      <c r="V31" s="3">
        <f t="shared" si="0"/>
        <v>999.22394199999997</v>
      </c>
      <c r="W31" s="3">
        <f t="shared" si="1"/>
        <v>999.22394200000008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3"/>
  <sheetViews>
    <sheetView topLeftCell="B1" zoomScale="70" zoomScaleNormal="70" workbookViewId="0">
      <selection activeCell="Z15" sqref="Z15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4.8100000000000005</v>
      </c>
      <c r="C2">
        <v>6.0000000000000497E-2</v>
      </c>
      <c r="D2">
        <v>0</v>
      </c>
      <c r="E2">
        <v>8.61</v>
      </c>
      <c r="F2">
        <v>0</v>
      </c>
      <c r="G2">
        <v>0</v>
      </c>
      <c r="H2">
        <v>0</v>
      </c>
      <c r="J2">
        <v>0</v>
      </c>
      <c r="L2">
        <v>11.94</v>
      </c>
      <c r="N2">
        <v>0</v>
      </c>
      <c r="O2">
        <v>1.42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s="3">
        <f>B2+E2+F2</f>
        <v>13.42</v>
      </c>
      <c r="W2" s="3">
        <f>C2+D2+SUM(G2:U2)</f>
        <v>13.42</v>
      </c>
      <c r="X2" s="3">
        <f>V2-W2</f>
        <v>0</v>
      </c>
    </row>
    <row r="3" spans="1:24">
      <c r="A3" s="1" t="s">
        <v>1</v>
      </c>
      <c r="B3">
        <v>29.300000000000004</v>
      </c>
      <c r="C3">
        <v>0</v>
      </c>
      <c r="D3">
        <v>0</v>
      </c>
      <c r="E3">
        <v>8.629999999999999</v>
      </c>
      <c r="F3">
        <v>0</v>
      </c>
      <c r="G3">
        <v>0</v>
      </c>
      <c r="H3">
        <v>0</v>
      </c>
      <c r="J3">
        <v>0</v>
      </c>
      <c r="L3">
        <v>0</v>
      </c>
      <c r="N3">
        <v>0</v>
      </c>
      <c r="O3">
        <v>36.17</v>
      </c>
      <c r="P3">
        <v>0</v>
      </c>
      <c r="Q3">
        <v>0</v>
      </c>
      <c r="R3">
        <v>0</v>
      </c>
      <c r="S3">
        <v>0</v>
      </c>
      <c r="T3">
        <v>0</v>
      </c>
      <c r="U3">
        <v>1.76</v>
      </c>
      <c r="V3" s="3">
        <f t="shared" ref="V3:V31" si="0">B3+E3+F3</f>
        <v>37.930000000000007</v>
      </c>
      <c r="W3" s="3">
        <f t="shared" ref="W3:W31" si="1">C3+D3+SUM(G3:U3)</f>
        <v>37.93</v>
      </c>
      <c r="X3" s="3">
        <f t="shared" ref="X3:X31" si="2">V3-W3</f>
        <v>0</v>
      </c>
    </row>
    <row r="4" spans="1:24">
      <c r="A4" s="1" t="s">
        <v>2</v>
      </c>
      <c r="B4">
        <v>218.84</v>
      </c>
      <c r="C4">
        <v>0</v>
      </c>
      <c r="D4">
        <v>0</v>
      </c>
      <c r="E4">
        <v>0</v>
      </c>
      <c r="F4">
        <v>0</v>
      </c>
      <c r="G4">
        <v>-0.18</v>
      </c>
      <c r="H4">
        <v>0</v>
      </c>
      <c r="J4">
        <v>0</v>
      </c>
      <c r="L4">
        <v>96.06</v>
      </c>
      <c r="N4">
        <v>0</v>
      </c>
      <c r="O4">
        <v>122.85</v>
      </c>
      <c r="P4">
        <v>0</v>
      </c>
      <c r="Q4">
        <v>0</v>
      </c>
      <c r="R4">
        <v>0</v>
      </c>
      <c r="S4">
        <v>0</v>
      </c>
      <c r="T4">
        <v>0</v>
      </c>
      <c r="U4">
        <v>0.11</v>
      </c>
      <c r="V4" s="3">
        <f t="shared" si="0"/>
        <v>218.84</v>
      </c>
      <c r="W4" s="3">
        <f t="shared" si="1"/>
        <v>218.84</v>
      </c>
      <c r="X4" s="3">
        <f t="shared" si="2"/>
        <v>0</v>
      </c>
    </row>
    <row r="5" spans="1:24">
      <c r="A5" s="1" t="s">
        <v>3</v>
      </c>
      <c r="B5">
        <v>402.09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373.5</v>
      </c>
      <c r="N5">
        <v>0</v>
      </c>
      <c r="O5">
        <v>28.59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402.09</v>
      </c>
      <c r="W5" s="3">
        <f t="shared" si="1"/>
        <v>402.09</v>
      </c>
      <c r="X5" s="3">
        <f t="shared" si="2"/>
        <v>0</v>
      </c>
    </row>
    <row r="6" spans="1:24">
      <c r="A6" s="1" t="s">
        <v>4</v>
      </c>
      <c r="B6">
        <v>93.731431000000015</v>
      </c>
      <c r="C6">
        <v>0</v>
      </c>
      <c r="D6">
        <v>0</v>
      </c>
      <c r="E6">
        <v>5.2644999999999857</v>
      </c>
      <c r="F6">
        <v>0</v>
      </c>
      <c r="G6">
        <v>0</v>
      </c>
      <c r="H6">
        <v>0</v>
      </c>
      <c r="J6">
        <v>0</v>
      </c>
      <c r="L6">
        <v>30.752343</v>
      </c>
      <c r="N6">
        <v>0</v>
      </c>
      <c r="O6">
        <v>53.757688000000009</v>
      </c>
      <c r="P6">
        <v>0</v>
      </c>
      <c r="Q6">
        <v>0</v>
      </c>
      <c r="R6">
        <v>0</v>
      </c>
      <c r="S6">
        <v>0</v>
      </c>
      <c r="T6">
        <v>0</v>
      </c>
      <c r="U6">
        <v>14.485900000000001</v>
      </c>
      <c r="V6" s="3">
        <f t="shared" si="0"/>
        <v>98.995930999999999</v>
      </c>
      <c r="W6" s="3">
        <f t="shared" si="1"/>
        <v>98.995931000000013</v>
      </c>
      <c r="X6" s="3">
        <f t="shared" si="2"/>
        <v>0</v>
      </c>
    </row>
    <row r="7" spans="1:24">
      <c r="A7" s="2" t="s">
        <v>5</v>
      </c>
      <c r="B7">
        <v>124.33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J7">
        <v>0</v>
      </c>
      <c r="L7">
        <v>15.33</v>
      </c>
      <c r="N7">
        <v>0</v>
      </c>
      <c r="O7">
        <v>108.94</v>
      </c>
      <c r="P7">
        <v>0</v>
      </c>
      <c r="Q7">
        <v>0</v>
      </c>
      <c r="R7">
        <v>0</v>
      </c>
      <c r="S7">
        <v>0</v>
      </c>
      <c r="T7">
        <v>0</v>
      </c>
      <c r="U7">
        <v>0.06</v>
      </c>
      <c r="V7" s="3">
        <f t="shared" si="0"/>
        <v>124.33</v>
      </c>
      <c r="W7" s="3">
        <f t="shared" si="1"/>
        <v>124.33</v>
      </c>
      <c r="X7" s="3">
        <f t="shared" si="2"/>
        <v>0</v>
      </c>
    </row>
    <row r="8" spans="1:24">
      <c r="A8" s="1" t="s">
        <v>6</v>
      </c>
      <c r="B8">
        <v>153.92000000000002</v>
      </c>
      <c r="C8">
        <v>0</v>
      </c>
      <c r="D8">
        <v>0</v>
      </c>
      <c r="E8">
        <v>7.64</v>
      </c>
      <c r="F8">
        <v>0</v>
      </c>
      <c r="G8">
        <v>0</v>
      </c>
      <c r="H8">
        <v>0</v>
      </c>
      <c r="J8">
        <v>0</v>
      </c>
      <c r="L8">
        <v>7.57</v>
      </c>
      <c r="N8">
        <v>0</v>
      </c>
      <c r="O8">
        <v>91.29</v>
      </c>
      <c r="P8">
        <v>0</v>
      </c>
      <c r="Q8">
        <v>0</v>
      </c>
      <c r="R8">
        <v>0</v>
      </c>
      <c r="S8">
        <v>0</v>
      </c>
      <c r="T8">
        <v>62.7</v>
      </c>
      <c r="U8">
        <v>0</v>
      </c>
      <c r="V8" s="3">
        <f t="shared" si="0"/>
        <v>161.56</v>
      </c>
      <c r="W8" s="3">
        <f t="shared" si="1"/>
        <v>161.56</v>
      </c>
      <c r="X8" s="3">
        <f t="shared" si="2"/>
        <v>0</v>
      </c>
    </row>
    <row r="9" spans="1:24">
      <c r="A9" s="1" t="s">
        <v>7</v>
      </c>
      <c r="B9">
        <v>0.08</v>
      </c>
      <c r="C9">
        <v>0</v>
      </c>
      <c r="D9">
        <v>0</v>
      </c>
      <c r="E9">
        <v>120.51</v>
      </c>
      <c r="F9">
        <v>0</v>
      </c>
      <c r="G9">
        <v>-15.18</v>
      </c>
      <c r="H9">
        <v>0</v>
      </c>
      <c r="J9">
        <v>0</v>
      </c>
      <c r="L9">
        <v>58.06</v>
      </c>
      <c r="N9">
        <v>0</v>
      </c>
      <c r="O9">
        <v>77.67</v>
      </c>
      <c r="P9">
        <v>0</v>
      </c>
      <c r="Q9">
        <v>0</v>
      </c>
      <c r="R9">
        <v>0</v>
      </c>
      <c r="S9">
        <v>0</v>
      </c>
      <c r="T9">
        <v>0</v>
      </c>
      <c r="U9">
        <v>0.04</v>
      </c>
      <c r="V9" s="3">
        <f t="shared" si="0"/>
        <v>120.59</v>
      </c>
      <c r="W9" s="3">
        <f t="shared" si="1"/>
        <v>120.59000000000002</v>
      </c>
      <c r="X9" s="3">
        <f t="shared" si="2"/>
        <v>0</v>
      </c>
    </row>
    <row r="10" spans="1:24">
      <c r="A10" s="1" t="s">
        <v>8</v>
      </c>
      <c r="B10">
        <v>10.119999999999999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J10">
        <v>0</v>
      </c>
      <c r="L10">
        <v>10.119999999999999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s="3">
        <f t="shared" si="0"/>
        <v>10.119999999999999</v>
      </c>
      <c r="W10" s="3">
        <f t="shared" si="1"/>
        <v>10.119999999999999</v>
      </c>
      <c r="X10" s="3">
        <f t="shared" si="2"/>
        <v>0</v>
      </c>
    </row>
    <row r="11" spans="1:24">
      <c r="A11" s="1" t="s">
        <v>9</v>
      </c>
      <c r="B11">
        <v>39.380000000000003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J11">
        <v>0</v>
      </c>
      <c r="L11">
        <v>39.03</v>
      </c>
      <c r="N11">
        <v>0</v>
      </c>
      <c r="O11">
        <v>0.35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s="3">
        <f t="shared" si="0"/>
        <v>39.380000000000003</v>
      </c>
      <c r="W11" s="3">
        <f t="shared" si="1"/>
        <v>39.380000000000003</v>
      </c>
      <c r="X11" s="3">
        <f t="shared" si="2"/>
        <v>0</v>
      </c>
    </row>
    <row r="12" spans="1:24">
      <c r="A12" s="1" t="s">
        <v>10</v>
      </c>
      <c r="B12">
        <v>109.25</v>
      </c>
      <c r="C12">
        <v>3.3000000000011909E-3</v>
      </c>
      <c r="D12">
        <v>0</v>
      </c>
      <c r="E12">
        <v>0</v>
      </c>
      <c r="F12">
        <v>0</v>
      </c>
      <c r="G12">
        <v>0</v>
      </c>
      <c r="H12">
        <v>0</v>
      </c>
      <c r="J12">
        <v>0</v>
      </c>
      <c r="L12">
        <v>48.728499999999997</v>
      </c>
      <c r="N12">
        <v>0</v>
      </c>
      <c r="O12">
        <v>60.5182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 s="3">
        <f t="shared" si="0"/>
        <v>109.25</v>
      </c>
      <c r="W12" s="3">
        <f t="shared" si="1"/>
        <v>109.25</v>
      </c>
      <c r="X12" s="3">
        <f t="shared" si="2"/>
        <v>0</v>
      </c>
    </row>
    <row r="13" spans="1:24">
      <c r="A13" s="1" t="s">
        <v>11</v>
      </c>
      <c r="B13">
        <v>7.9700000000000006</v>
      </c>
      <c r="C13">
        <v>0.34000000000000075</v>
      </c>
      <c r="D13">
        <v>0</v>
      </c>
      <c r="E13">
        <v>0</v>
      </c>
      <c r="F13">
        <v>0</v>
      </c>
      <c r="G13">
        <v>0</v>
      </c>
      <c r="H13">
        <v>0</v>
      </c>
      <c r="J13">
        <v>0</v>
      </c>
      <c r="L13">
        <v>7.52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0.11</v>
      </c>
      <c r="V13" s="3">
        <f t="shared" si="0"/>
        <v>7.9700000000000006</v>
      </c>
      <c r="W13" s="3">
        <f t="shared" si="1"/>
        <v>7.9700000000000006</v>
      </c>
      <c r="X13" s="3">
        <f t="shared" si="2"/>
        <v>0</v>
      </c>
    </row>
    <row r="14" spans="1:24">
      <c r="A14" s="1" t="s">
        <v>12</v>
      </c>
      <c r="B14">
        <v>94.77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J14">
        <v>0</v>
      </c>
      <c r="L14">
        <v>13.64</v>
      </c>
      <c r="N14">
        <v>0</v>
      </c>
      <c r="O14">
        <v>81.13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94.77</v>
      </c>
      <c r="W14" s="3">
        <f t="shared" si="1"/>
        <v>94.77</v>
      </c>
      <c r="X14" s="3">
        <f t="shared" si="2"/>
        <v>0</v>
      </c>
    </row>
    <row r="15" spans="1:24">
      <c r="A15" s="1" t="s">
        <v>13</v>
      </c>
      <c r="B15">
        <v>72.599999999999994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J15">
        <v>0</v>
      </c>
      <c r="L15">
        <v>25.6</v>
      </c>
      <c r="N15">
        <v>0</v>
      </c>
      <c r="O15">
        <v>47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 s="3">
        <f t="shared" si="0"/>
        <v>72.599999999999994</v>
      </c>
      <c r="W15" s="3">
        <f t="shared" si="1"/>
        <v>72.599999999999994</v>
      </c>
      <c r="X15" s="3">
        <f t="shared" si="2"/>
        <v>0</v>
      </c>
    </row>
    <row r="16" spans="1:24">
      <c r="A16" s="1" t="s">
        <v>14</v>
      </c>
      <c r="B16">
        <v>82.857651000000004</v>
      </c>
      <c r="C16">
        <v>0</v>
      </c>
      <c r="D16">
        <v>0</v>
      </c>
      <c r="E16">
        <v>198.59573400000005</v>
      </c>
      <c r="F16">
        <v>0</v>
      </c>
      <c r="G16">
        <v>0</v>
      </c>
      <c r="H16">
        <v>0</v>
      </c>
      <c r="J16">
        <v>0</v>
      </c>
      <c r="L16">
        <v>225.75480900000002</v>
      </c>
      <c r="N16">
        <v>0</v>
      </c>
      <c r="O16">
        <v>54.773588000000046</v>
      </c>
      <c r="P16">
        <v>0</v>
      </c>
      <c r="Q16">
        <v>0</v>
      </c>
      <c r="R16">
        <v>0</v>
      </c>
      <c r="S16">
        <v>0</v>
      </c>
      <c r="T16">
        <v>0</v>
      </c>
      <c r="U16">
        <v>0.92498800000000003</v>
      </c>
      <c r="V16" s="3">
        <f t="shared" si="0"/>
        <v>281.45338500000003</v>
      </c>
      <c r="W16" s="3">
        <f t="shared" si="1"/>
        <v>281.45338500000003</v>
      </c>
      <c r="X16" s="3">
        <f t="shared" si="2"/>
        <v>0</v>
      </c>
    </row>
    <row r="17" spans="1:24">
      <c r="A17" s="1" t="s">
        <v>15</v>
      </c>
      <c r="B17">
        <v>25.16</v>
      </c>
      <c r="C17">
        <v>0</v>
      </c>
      <c r="D17">
        <v>0</v>
      </c>
      <c r="E17">
        <v>88.91</v>
      </c>
      <c r="F17">
        <v>0</v>
      </c>
      <c r="G17">
        <v>0</v>
      </c>
      <c r="H17">
        <v>0</v>
      </c>
      <c r="J17">
        <v>0</v>
      </c>
      <c r="L17">
        <v>72.400000000000006</v>
      </c>
      <c r="N17">
        <v>0</v>
      </c>
      <c r="O17">
        <v>41.67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s="3">
        <f t="shared" si="0"/>
        <v>114.07</v>
      </c>
      <c r="W17" s="3">
        <f t="shared" si="1"/>
        <v>114.07000000000001</v>
      </c>
      <c r="X17" s="3">
        <f t="shared" si="2"/>
        <v>0</v>
      </c>
    </row>
    <row r="18" spans="1:24">
      <c r="A18" s="1" t="s">
        <v>16</v>
      </c>
      <c r="B18">
        <v>0</v>
      </c>
      <c r="C18">
        <v>0</v>
      </c>
      <c r="D18">
        <v>0</v>
      </c>
      <c r="E18">
        <v>197.9</v>
      </c>
      <c r="F18">
        <v>0</v>
      </c>
      <c r="G18">
        <v>0</v>
      </c>
      <c r="H18">
        <v>0</v>
      </c>
      <c r="J18">
        <v>0</v>
      </c>
      <c r="L18">
        <v>35.950000000000003</v>
      </c>
      <c r="N18">
        <v>0</v>
      </c>
      <c r="O18">
        <v>161.94999999999999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s="3">
        <f t="shared" si="0"/>
        <v>197.9</v>
      </c>
      <c r="W18" s="3">
        <f t="shared" si="1"/>
        <v>197.89999999999998</v>
      </c>
      <c r="X18" s="3">
        <f t="shared" si="2"/>
        <v>0</v>
      </c>
    </row>
    <row r="19" spans="1:24">
      <c r="A19" s="1" t="s">
        <v>17</v>
      </c>
      <c r="B19">
        <v>208.01</v>
      </c>
      <c r="C19">
        <v>0</v>
      </c>
      <c r="D19">
        <v>0</v>
      </c>
      <c r="E19">
        <v>41.72</v>
      </c>
      <c r="F19">
        <v>0</v>
      </c>
      <c r="G19">
        <v>-1.47</v>
      </c>
      <c r="H19">
        <v>0</v>
      </c>
      <c r="J19">
        <v>0</v>
      </c>
      <c r="L19">
        <v>29.46</v>
      </c>
      <c r="N19">
        <v>5.2</v>
      </c>
      <c r="O19">
        <v>79.209999999999994</v>
      </c>
      <c r="P19">
        <v>0</v>
      </c>
      <c r="Q19">
        <v>0</v>
      </c>
      <c r="R19">
        <v>0</v>
      </c>
      <c r="S19">
        <v>0</v>
      </c>
      <c r="T19">
        <v>137.26</v>
      </c>
      <c r="U19">
        <v>7.0000000000000007E-2</v>
      </c>
      <c r="V19" s="3">
        <f t="shared" si="0"/>
        <v>249.73</v>
      </c>
      <c r="W19" s="3">
        <f t="shared" si="1"/>
        <v>249.73</v>
      </c>
      <c r="X19" s="3">
        <f t="shared" si="2"/>
        <v>0</v>
      </c>
    </row>
    <row r="20" spans="1:24">
      <c r="A20" s="1" t="s">
        <v>18</v>
      </c>
      <c r="B20">
        <v>2.7299999999999942</v>
      </c>
      <c r="C20">
        <v>0</v>
      </c>
      <c r="D20">
        <v>0</v>
      </c>
      <c r="E20">
        <v>160.63</v>
      </c>
      <c r="F20">
        <v>0</v>
      </c>
      <c r="G20">
        <v>0</v>
      </c>
      <c r="H20">
        <v>0</v>
      </c>
      <c r="J20">
        <v>0</v>
      </c>
      <c r="L20">
        <v>119.5</v>
      </c>
      <c r="N20">
        <v>0</v>
      </c>
      <c r="O20">
        <v>41.23</v>
      </c>
      <c r="P20">
        <v>0</v>
      </c>
      <c r="Q20">
        <v>0</v>
      </c>
      <c r="R20">
        <v>0</v>
      </c>
      <c r="S20">
        <v>0</v>
      </c>
      <c r="T20">
        <v>0</v>
      </c>
      <c r="U20">
        <v>2.63</v>
      </c>
      <c r="V20" s="3">
        <f t="shared" si="0"/>
        <v>163.35999999999999</v>
      </c>
      <c r="W20" s="3">
        <f t="shared" si="1"/>
        <v>163.35999999999999</v>
      </c>
      <c r="X20" s="3">
        <f t="shared" si="2"/>
        <v>0</v>
      </c>
    </row>
    <row r="21" spans="1:24">
      <c r="A21" s="1" t="s">
        <v>19</v>
      </c>
      <c r="B21">
        <v>301.14999999999998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J21">
        <v>0</v>
      </c>
      <c r="L21">
        <v>94.18</v>
      </c>
      <c r="N21">
        <v>0</v>
      </c>
      <c r="O21">
        <v>202.47</v>
      </c>
      <c r="P21">
        <v>0</v>
      </c>
      <c r="Q21">
        <v>0</v>
      </c>
      <c r="R21">
        <v>0</v>
      </c>
      <c r="S21">
        <v>0</v>
      </c>
      <c r="T21">
        <v>4.5</v>
      </c>
      <c r="U21">
        <v>0</v>
      </c>
      <c r="V21" s="3">
        <f t="shared" si="0"/>
        <v>301.14999999999998</v>
      </c>
      <c r="W21" s="3">
        <f t="shared" si="1"/>
        <v>301.14999999999998</v>
      </c>
      <c r="X21" s="3">
        <f t="shared" si="2"/>
        <v>0</v>
      </c>
    </row>
    <row r="22" spans="1:24">
      <c r="A22" s="1" t="s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J22">
        <v>0</v>
      </c>
      <c r="L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s="3">
        <f t="shared" si="0"/>
        <v>0</v>
      </c>
      <c r="W22" s="3">
        <f t="shared" si="1"/>
        <v>0</v>
      </c>
      <c r="X22" s="3">
        <f t="shared" si="2"/>
        <v>0</v>
      </c>
    </row>
    <row r="23" spans="1:24">
      <c r="A23" s="1" t="s">
        <v>21</v>
      </c>
      <c r="B23">
        <v>428.65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J23">
        <v>0</v>
      </c>
      <c r="L23">
        <v>23.21</v>
      </c>
      <c r="N23">
        <v>0</v>
      </c>
      <c r="O23">
        <v>402.13</v>
      </c>
      <c r="P23">
        <v>0</v>
      </c>
      <c r="Q23">
        <v>0</v>
      </c>
      <c r="R23">
        <v>0</v>
      </c>
      <c r="S23">
        <v>0</v>
      </c>
      <c r="T23">
        <v>0</v>
      </c>
      <c r="U23">
        <v>3.31</v>
      </c>
      <c r="V23" s="3">
        <f t="shared" si="0"/>
        <v>428.65</v>
      </c>
      <c r="W23" s="3">
        <f t="shared" si="1"/>
        <v>428.65</v>
      </c>
      <c r="X23" s="3">
        <f t="shared" si="2"/>
        <v>0</v>
      </c>
    </row>
    <row r="24" spans="1:24">
      <c r="A24" s="1" t="s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J24">
        <v>0</v>
      </c>
      <c r="L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0</v>
      </c>
      <c r="W24" s="3">
        <f t="shared" si="1"/>
        <v>0</v>
      </c>
      <c r="X24" s="3">
        <f t="shared" si="2"/>
        <v>0</v>
      </c>
    </row>
    <row r="25" spans="1:24">
      <c r="A25" s="1" t="s">
        <v>23</v>
      </c>
      <c r="B25">
        <v>44.1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L25">
        <v>44.1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44.1</v>
      </c>
      <c r="W25" s="3">
        <f t="shared" si="1"/>
        <v>44.1</v>
      </c>
      <c r="X25" s="3">
        <f t="shared" si="2"/>
        <v>0</v>
      </c>
    </row>
    <row r="26" spans="1:24">
      <c r="A26" s="1" t="s">
        <v>24</v>
      </c>
      <c r="B26">
        <v>200.85720000000001</v>
      </c>
      <c r="C26">
        <v>0</v>
      </c>
      <c r="D26">
        <v>0</v>
      </c>
      <c r="E26">
        <v>3.735000000006039E-3</v>
      </c>
      <c r="F26">
        <v>0</v>
      </c>
      <c r="G26">
        <v>0</v>
      </c>
      <c r="H26">
        <v>0</v>
      </c>
      <c r="J26">
        <v>0</v>
      </c>
      <c r="L26">
        <v>50.302135999999997</v>
      </c>
      <c r="N26">
        <v>21.66</v>
      </c>
      <c r="O26">
        <v>82.688799000000003</v>
      </c>
      <c r="P26">
        <v>0</v>
      </c>
      <c r="Q26">
        <v>0</v>
      </c>
      <c r="R26">
        <v>0</v>
      </c>
      <c r="S26">
        <v>0</v>
      </c>
      <c r="T26">
        <v>43.470000000000013</v>
      </c>
      <c r="U26">
        <v>2.74</v>
      </c>
      <c r="V26" s="3">
        <f t="shared" si="0"/>
        <v>200.86093500000001</v>
      </c>
      <c r="W26" s="3">
        <f t="shared" si="1"/>
        <v>200.86093500000004</v>
      </c>
      <c r="X26" s="3">
        <f t="shared" si="2"/>
        <v>0</v>
      </c>
    </row>
    <row r="27" spans="1:24">
      <c r="A27" s="1" t="s">
        <v>25</v>
      </c>
      <c r="B27">
        <v>180</v>
      </c>
      <c r="C27">
        <v>0</v>
      </c>
      <c r="D27">
        <v>0</v>
      </c>
      <c r="E27">
        <v>2.2899999999999903</v>
      </c>
      <c r="F27">
        <v>0</v>
      </c>
      <c r="G27">
        <v>-12.47</v>
      </c>
      <c r="H27">
        <v>0</v>
      </c>
      <c r="J27">
        <v>0</v>
      </c>
      <c r="L27">
        <v>94.36</v>
      </c>
      <c r="N27">
        <v>0</v>
      </c>
      <c r="O27">
        <v>97.51</v>
      </c>
      <c r="P27">
        <v>0</v>
      </c>
      <c r="Q27">
        <v>0</v>
      </c>
      <c r="R27">
        <v>0</v>
      </c>
      <c r="S27">
        <v>0</v>
      </c>
      <c r="T27">
        <v>0</v>
      </c>
      <c r="U27">
        <v>2.89</v>
      </c>
      <c r="V27" s="3">
        <f t="shared" si="0"/>
        <v>182.29</v>
      </c>
      <c r="W27" s="3">
        <f t="shared" si="1"/>
        <v>182.29</v>
      </c>
      <c r="X27" s="3">
        <f t="shared" si="2"/>
        <v>0</v>
      </c>
    </row>
    <row r="28" spans="1:24">
      <c r="A28" s="1" t="s">
        <v>26</v>
      </c>
      <c r="B28">
        <v>128.37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L28">
        <v>10.67</v>
      </c>
      <c r="N28">
        <v>3.1</v>
      </c>
      <c r="O28">
        <v>110.6</v>
      </c>
      <c r="P28">
        <v>4</v>
      </c>
      <c r="Q28">
        <v>0</v>
      </c>
      <c r="R28">
        <v>0</v>
      </c>
      <c r="S28">
        <v>0</v>
      </c>
      <c r="T28">
        <v>0</v>
      </c>
      <c r="U28">
        <v>0</v>
      </c>
      <c r="V28" s="3">
        <f t="shared" si="0"/>
        <v>128.37</v>
      </c>
      <c r="W28" s="3">
        <f t="shared" si="1"/>
        <v>128.37</v>
      </c>
      <c r="X28" s="3">
        <f t="shared" si="2"/>
        <v>0</v>
      </c>
    </row>
    <row r="29" spans="1:24">
      <c r="A29" s="1" t="s">
        <v>27</v>
      </c>
      <c r="B29">
        <v>0</v>
      </c>
      <c r="C29">
        <v>0</v>
      </c>
      <c r="D29">
        <v>0</v>
      </c>
      <c r="E29">
        <v>1.6</v>
      </c>
      <c r="F29">
        <v>0</v>
      </c>
      <c r="G29">
        <v>0</v>
      </c>
      <c r="H29">
        <v>0</v>
      </c>
      <c r="J29">
        <v>0</v>
      </c>
      <c r="L29">
        <v>0</v>
      </c>
      <c r="N29">
        <v>0</v>
      </c>
      <c r="O29">
        <v>1.5994999999999999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s="3">
        <f t="shared" si="0"/>
        <v>1.6</v>
      </c>
      <c r="W29" s="3">
        <f t="shared" si="1"/>
        <v>1.5994999999999999</v>
      </c>
      <c r="X29" s="3">
        <f t="shared" si="2"/>
        <v>5.0000000000016698E-4</v>
      </c>
    </row>
    <row r="30" spans="1:24">
      <c r="A30" s="1" t="s">
        <v>28</v>
      </c>
      <c r="B30">
        <v>0</v>
      </c>
      <c r="C30">
        <v>0</v>
      </c>
      <c r="D30">
        <v>0</v>
      </c>
      <c r="E30">
        <v>158.07</v>
      </c>
      <c r="F30">
        <v>0</v>
      </c>
      <c r="G30">
        <v>0</v>
      </c>
      <c r="H30">
        <v>0</v>
      </c>
      <c r="J30">
        <v>0</v>
      </c>
      <c r="L30">
        <v>0</v>
      </c>
      <c r="N30">
        <v>0</v>
      </c>
      <c r="O30">
        <v>158.07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s="3">
        <f t="shared" si="0"/>
        <v>158.07</v>
      </c>
      <c r="W30" s="3">
        <f t="shared" si="1"/>
        <v>158.07</v>
      </c>
      <c r="X30" s="3">
        <f t="shared" si="2"/>
        <v>0</v>
      </c>
    </row>
    <row r="31" spans="1:24">
      <c r="A31" s="1" t="s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s="3">
        <f t="shared" si="0"/>
        <v>0</v>
      </c>
      <c r="W31" s="3">
        <f t="shared" si="1"/>
        <v>0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topLeftCell="A10" workbookViewId="0">
      <selection activeCell="A13" sqref="A13:XFD13"/>
    </sheetView>
  </sheetViews>
  <sheetFormatPr defaultRowHeight="14.5"/>
  <cols>
    <col min="1" max="1" width="27.81640625" customWidth="1"/>
    <col min="2" max="2" width="43.81640625" customWidth="1"/>
    <col min="3" max="3" width="39.08984375" customWidth="1"/>
  </cols>
  <sheetData>
    <row r="1" spans="1:5" ht="21">
      <c r="A1" s="20" t="s">
        <v>50</v>
      </c>
      <c r="B1" s="20"/>
      <c r="C1" s="20"/>
    </row>
    <row r="2" spans="1:5" ht="15" thickBot="1">
      <c r="A2" s="4"/>
      <c r="B2" s="4"/>
      <c r="C2" s="4"/>
    </row>
    <row r="3" spans="1:5">
      <c r="A3" s="5" t="s">
        <v>51</v>
      </c>
      <c r="B3" s="6" t="s">
        <v>52</v>
      </c>
      <c r="C3" s="7" t="s">
        <v>53</v>
      </c>
    </row>
    <row r="4" spans="1:5">
      <c r="A4" s="8"/>
      <c r="B4" s="9"/>
      <c r="C4" s="10"/>
    </row>
    <row r="5" spans="1:5">
      <c r="A5" s="8" t="s">
        <v>54</v>
      </c>
      <c r="B5" s="11" t="s">
        <v>87</v>
      </c>
      <c r="C5" s="12" t="s">
        <v>88</v>
      </c>
      <c r="D5" t="str">
        <f>MID(C5,1,6)</f>
        <v>0.7143</v>
      </c>
      <c r="E5" s="16">
        <v>0.71430000000000005</v>
      </c>
    </row>
    <row r="6" spans="1:5">
      <c r="A6" s="8" t="s">
        <v>89</v>
      </c>
      <c r="B6" s="11" t="s">
        <v>90</v>
      </c>
      <c r="C6" s="12" t="s">
        <v>91</v>
      </c>
      <c r="D6" t="str">
        <f t="shared" ref="D6:D47" si="0">MID(C6,1,6)</f>
        <v>0.9000</v>
      </c>
      <c r="E6" s="16">
        <v>0.9</v>
      </c>
    </row>
    <row r="7" spans="1:5">
      <c r="A7" s="8" t="s">
        <v>55</v>
      </c>
      <c r="B7" s="11"/>
      <c r="C7" s="12"/>
      <c r="D7" t="str">
        <f t="shared" si="0"/>
        <v/>
      </c>
      <c r="E7" t="s">
        <v>154</v>
      </c>
    </row>
    <row r="8" spans="1:5">
      <c r="A8" s="8" t="s">
        <v>56</v>
      </c>
      <c r="B8" s="11" t="s">
        <v>92</v>
      </c>
      <c r="C8" s="12" t="s">
        <v>93</v>
      </c>
      <c r="D8" t="str">
        <f t="shared" si="0"/>
        <v>0.2857</v>
      </c>
      <c r="E8" s="16">
        <v>0.28570000000000001</v>
      </c>
    </row>
    <row r="9" spans="1:5">
      <c r="A9" s="8" t="s">
        <v>57</v>
      </c>
      <c r="B9" s="11" t="s">
        <v>94</v>
      </c>
      <c r="C9" s="12" t="s">
        <v>95</v>
      </c>
      <c r="D9" t="str">
        <f t="shared" si="0"/>
        <v>0.2857</v>
      </c>
      <c r="E9" s="17">
        <v>0.35720000000000002</v>
      </c>
    </row>
    <row r="10" spans="1:5">
      <c r="A10" s="8" t="s">
        <v>155</v>
      </c>
      <c r="B10" s="11"/>
      <c r="C10" s="12"/>
      <c r="E10" s="17">
        <v>0.6</v>
      </c>
    </row>
    <row r="11" spans="1:5">
      <c r="A11" s="8" t="s">
        <v>58</v>
      </c>
      <c r="B11" s="11" t="s">
        <v>96</v>
      </c>
      <c r="C11" s="12" t="s">
        <v>97</v>
      </c>
      <c r="D11" t="str">
        <f t="shared" si="0"/>
        <v>0.9714</v>
      </c>
      <c r="E11" s="16">
        <v>0.97140000000000004</v>
      </c>
    </row>
    <row r="12" spans="1:5">
      <c r="A12" s="8" t="s">
        <v>59</v>
      </c>
      <c r="B12" s="11" t="s">
        <v>98</v>
      </c>
      <c r="C12" s="12" t="s">
        <v>99</v>
      </c>
      <c r="D12" t="str">
        <f t="shared" si="0"/>
        <v>1.4286</v>
      </c>
      <c r="E12" s="16">
        <v>1.4286000000000001</v>
      </c>
    </row>
    <row r="13" spans="1:5">
      <c r="A13" s="8" t="s">
        <v>100</v>
      </c>
      <c r="B13" s="11" t="s">
        <v>98</v>
      </c>
      <c r="C13" s="12" t="s">
        <v>99</v>
      </c>
      <c r="D13" t="str">
        <f t="shared" si="0"/>
        <v>1.4286</v>
      </c>
      <c r="E13" s="16">
        <v>1.4286000000000001</v>
      </c>
    </row>
    <row r="14" spans="1:5">
      <c r="A14" s="8" t="s">
        <v>60</v>
      </c>
      <c r="B14" s="11" t="s">
        <v>101</v>
      </c>
      <c r="C14" s="12" t="s">
        <v>102</v>
      </c>
      <c r="D14" t="str">
        <f t="shared" si="0"/>
        <v>1.4714</v>
      </c>
      <c r="E14" s="16">
        <v>1.4714</v>
      </c>
    </row>
    <row r="15" spans="1:5">
      <c r="A15" s="8" t="s">
        <v>61</v>
      </c>
      <c r="B15" s="11" t="s">
        <v>101</v>
      </c>
      <c r="C15" s="12" t="s">
        <v>102</v>
      </c>
      <c r="D15" t="str">
        <f t="shared" si="0"/>
        <v>1.4714</v>
      </c>
      <c r="E15" s="16">
        <v>1.4714</v>
      </c>
    </row>
    <row r="16" spans="1:5">
      <c r="A16" s="8" t="s">
        <v>62</v>
      </c>
      <c r="B16" s="11" t="s">
        <v>103</v>
      </c>
      <c r="C16" s="12" t="s">
        <v>104</v>
      </c>
      <c r="D16" t="str">
        <f t="shared" si="0"/>
        <v>1.4571</v>
      </c>
      <c r="E16" s="16">
        <v>1.4571000000000001</v>
      </c>
    </row>
    <row r="17" spans="1:5">
      <c r="A17" s="8" t="s">
        <v>63</v>
      </c>
      <c r="B17" s="11" t="s">
        <v>105</v>
      </c>
      <c r="C17" s="12" t="s">
        <v>106</v>
      </c>
      <c r="D17" t="str">
        <f t="shared" si="0"/>
        <v>1.7143</v>
      </c>
      <c r="E17" s="16">
        <v>1.7142999999999999</v>
      </c>
    </row>
    <row r="18" spans="1:5">
      <c r="A18" s="8" t="s">
        <v>64</v>
      </c>
      <c r="B18" s="11" t="s">
        <v>107</v>
      </c>
      <c r="C18" s="12" t="s">
        <v>108</v>
      </c>
      <c r="D18" t="str">
        <f t="shared" si="0"/>
        <v>1.5714</v>
      </c>
      <c r="E18" s="16">
        <v>1.5713999999999999</v>
      </c>
    </row>
    <row r="19" spans="1:5">
      <c r="A19" s="8" t="s">
        <v>109</v>
      </c>
      <c r="B19" s="11" t="s">
        <v>110</v>
      </c>
      <c r="C19" s="12" t="s">
        <v>111</v>
      </c>
      <c r="D19" t="str">
        <f t="shared" si="0"/>
        <v>1.3300</v>
      </c>
      <c r="E19" s="16">
        <v>1.33</v>
      </c>
    </row>
    <row r="20" spans="1:5">
      <c r="A20" s="8" t="s">
        <v>65</v>
      </c>
      <c r="B20" s="11" t="s">
        <v>112</v>
      </c>
      <c r="C20" s="12" t="s">
        <v>113</v>
      </c>
      <c r="D20" t="str">
        <f t="shared" si="0"/>
        <v>0.5714</v>
      </c>
      <c r="E20" s="17">
        <v>0.59289999999999998</v>
      </c>
    </row>
    <row r="21" spans="1:5">
      <c r="A21" s="18" t="s">
        <v>66</v>
      </c>
      <c r="B21" s="11"/>
      <c r="C21" s="12"/>
      <c r="D21" t="str">
        <f t="shared" si="0"/>
        <v/>
      </c>
      <c r="E21" t="s">
        <v>154</v>
      </c>
    </row>
    <row r="22" spans="1:5">
      <c r="A22" s="8" t="s">
        <v>114</v>
      </c>
      <c r="B22" s="11" t="s">
        <v>115</v>
      </c>
      <c r="C22" s="12" t="s">
        <v>116</v>
      </c>
      <c r="D22" t="str">
        <f t="shared" si="0"/>
        <v>0.1786</v>
      </c>
      <c r="E22" s="16">
        <v>0.17860000000000001</v>
      </c>
    </row>
    <row r="23" spans="1:5">
      <c r="A23" s="8" t="s">
        <v>67</v>
      </c>
      <c r="B23" s="11" t="s">
        <v>117</v>
      </c>
      <c r="C23" s="12" t="s">
        <v>118</v>
      </c>
      <c r="D23" t="str">
        <f t="shared" si="0"/>
        <v>0.6571</v>
      </c>
      <c r="E23" s="16">
        <v>0.65710000000000002</v>
      </c>
    </row>
    <row r="24" spans="1:5">
      <c r="A24" s="8" t="s">
        <v>68</v>
      </c>
      <c r="B24" s="11" t="s">
        <v>119</v>
      </c>
      <c r="C24" s="12" t="s">
        <v>120</v>
      </c>
      <c r="D24" t="str">
        <f t="shared" si="0"/>
        <v>1.2143</v>
      </c>
      <c r="E24" s="16">
        <v>1.2142999999999999</v>
      </c>
    </row>
    <row r="25" spans="1:5">
      <c r="A25" s="8" t="s">
        <v>121</v>
      </c>
      <c r="B25" s="11" t="s">
        <v>122</v>
      </c>
      <c r="C25" s="12" t="s">
        <v>123</v>
      </c>
      <c r="D25" t="str">
        <f t="shared" si="0"/>
        <v>0.5571</v>
      </c>
      <c r="E25" s="16">
        <v>0.55710000000000004</v>
      </c>
    </row>
    <row r="26" spans="1:5">
      <c r="A26" s="8" t="s">
        <v>69</v>
      </c>
      <c r="B26" s="11" t="s">
        <v>124</v>
      </c>
      <c r="C26" s="12" t="s">
        <v>125</v>
      </c>
      <c r="D26" t="str">
        <f t="shared" si="0"/>
        <v>0.5143</v>
      </c>
      <c r="E26" s="16">
        <v>0.51429999999999998</v>
      </c>
    </row>
    <row r="27" spans="1:5">
      <c r="A27" s="8" t="s">
        <v>70</v>
      </c>
      <c r="B27" s="11" t="s">
        <v>126</v>
      </c>
      <c r="C27" s="12" t="s">
        <v>127</v>
      </c>
      <c r="D27" t="str">
        <f t="shared" si="0"/>
        <v>0.3571</v>
      </c>
      <c r="E27" s="17">
        <v>0.35709999999999997</v>
      </c>
    </row>
    <row r="28" spans="1:5">
      <c r="A28" s="8" t="s">
        <v>71</v>
      </c>
      <c r="B28" s="11" t="s">
        <v>128</v>
      </c>
      <c r="C28" s="12" t="s">
        <v>129</v>
      </c>
      <c r="D28" t="str">
        <f t="shared" si="0"/>
        <v>1.1429</v>
      </c>
      <c r="E28" s="16">
        <v>1.1429</v>
      </c>
    </row>
    <row r="29" spans="1:5">
      <c r="A29" s="8" t="s">
        <v>72</v>
      </c>
      <c r="B29" s="11" t="s">
        <v>98</v>
      </c>
      <c r="C29" s="12" t="s">
        <v>99</v>
      </c>
      <c r="D29" t="str">
        <f t="shared" si="0"/>
        <v>1.4286</v>
      </c>
      <c r="E29" s="16">
        <v>1.4286000000000001</v>
      </c>
    </row>
    <row r="30" spans="1:5">
      <c r="A30" s="8" t="s">
        <v>130</v>
      </c>
      <c r="B30" s="11"/>
      <c r="C30" s="12" t="s">
        <v>131</v>
      </c>
      <c r="D30" t="str">
        <f t="shared" si="0"/>
        <v>0.0341</v>
      </c>
      <c r="E30" s="16">
        <v>3.4099999999999998E-2</v>
      </c>
    </row>
    <row r="31" spans="1:5">
      <c r="A31" s="8"/>
      <c r="B31" s="11"/>
      <c r="C31" s="12" t="s">
        <v>132</v>
      </c>
    </row>
    <row r="32" spans="1:5">
      <c r="A32" s="8" t="s">
        <v>133</v>
      </c>
      <c r="B32" s="11" t="s">
        <v>134</v>
      </c>
      <c r="C32" s="12" t="s">
        <v>135</v>
      </c>
      <c r="D32" t="str">
        <f t="shared" si="0"/>
        <v>0.1229</v>
      </c>
      <c r="E32" s="16">
        <v>0.1229</v>
      </c>
    </row>
    <row r="33" spans="1:5">
      <c r="A33" s="8" t="s">
        <v>136</v>
      </c>
      <c r="B33" s="9" t="s">
        <v>137</v>
      </c>
      <c r="C33" s="12"/>
      <c r="D33" t="str">
        <f t="shared" si="0"/>
        <v/>
      </c>
      <c r="E33" t="s">
        <v>154</v>
      </c>
    </row>
    <row r="34" spans="1:5">
      <c r="A34" s="8" t="s">
        <v>73</v>
      </c>
      <c r="B34" s="11"/>
      <c r="C34" s="12"/>
      <c r="D34" t="str">
        <f t="shared" si="0"/>
        <v/>
      </c>
      <c r="E34" t="s">
        <v>154</v>
      </c>
    </row>
    <row r="35" spans="1:5">
      <c r="A35" s="8" t="s">
        <v>74</v>
      </c>
      <c r="B35" s="11" t="s">
        <v>138</v>
      </c>
      <c r="C35" s="12" t="s">
        <v>139</v>
      </c>
      <c r="D35" t="str">
        <f t="shared" si="0"/>
        <v xml:space="preserve">0.643 </v>
      </c>
      <c r="E35" s="16">
        <v>0.64300000000000002</v>
      </c>
    </row>
    <row r="36" spans="1:5">
      <c r="A36" s="8" t="s">
        <v>75</v>
      </c>
      <c r="B36" s="11" t="s">
        <v>140</v>
      </c>
      <c r="C36" s="12" t="s">
        <v>141</v>
      </c>
      <c r="D36" t="str">
        <f t="shared" si="0"/>
        <v xml:space="preserve">0.471 </v>
      </c>
      <c r="E36" s="16">
        <v>0.47099999999999997</v>
      </c>
    </row>
    <row r="37" spans="1:5">
      <c r="A37" s="8" t="s">
        <v>76</v>
      </c>
      <c r="B37" s="11" t="s">
        <v>142</v>
      </c>
      <c r="C37" s="12" t="s">
        <v>143</v>
      </c>
      <c r="D37" t="str">
        <f t="shared" si="0"/>
        <v xml:space="preserve">0.429 </v>
      </c>
      <c r="E37" s="16">
        <v>0.42899999999999999</v>
      </c>
    </row>
    <row r="38" spans="1:5">
      <c r="A38" s="8" t="s">
        <v>77</v>
      </c>
      <c r="B38" s="11" t="s">
        <v>144</v>
      </c>
      <c r="C38" s="12" t="s">
        <v>145</v>
      </c>
      <c r="D38" t="str">
        <f t="shared" si="0"/>
        <v xml:space="preserve">0.529 </v>
      </c>
      <c r="E38" s="16">
        <v>0.52900000000000003</v>
      </c>
    </row>
    <row r="39" spans="1:5">
      <c r="A39" s="8" t="s">
        <v>78</v>
      </c>
      <c r="B39" s="11" t="s">
        <v>138</v>
      </c>
      <c r="C39" s="12" t="s">
        <v>139</v>
      </c>
      <c r="D39" t="str">
        <f t="shared" si="0"/>
        <v xml:space="preserve">0.643 </v>
      </c>
      <c r="E39" s="16">
        <v>0.64300000000000002</v>
      </c>
    </row>
    <row r="40" spans="1:5">
      <c r="A40" s="8" t="s">
        <v>79</v>
      </c>
      <c r="B40" s="11" t="s">
        <v>146</v>
      </c>
      <c r="C40" s="12" t="s">
        <v>147</v>
      </c>
      <c r="D40" t="str">
        <f t="shared" si="0"/>
        <v xml:space="preserve">0.543 </v>
      </c>
      <c r="E40" s="16">
        <v>0.54300000000000004</v>
      </c>
    </row>
    <row r="41" spans="1:5">
      <c r="A41" s="8" t="s">
        <v>80</v>
      </c>
      <c r="B41" s="11" t="s">
        <v>142</v>
      </c>
      <c r="C41" s="12" t="s">
        <v>143</v>
      </c>
      <c r="D41" t="str">
        <f t="shared" si="0"/>
        <v xml:space="preserve">0.429 </v>
      </c>
      <c r="E41" s="16">
        <v>0.42899999999999999</v>
      </c>
    </row>
    <row r="42" spans="1:5">
      <c r="A42" s="8" t="s">
        <v>81</v>
      </c>
      <c r="B42" s="11" t="s">
        <v>148</v>
      </c>
      <c r="C42" s="12" t="s">
        <v>149</v>
      </c>
      <c r="D42" t="str">
        <f t="shared" si="0"/>
        <v xml:space="preserve">0.500 </v>
      </c>
      <c r="E42" s="16">
        <v>0.5</v>
      </c>
    </row>
    <row r="43" spans="1:5">
      <c r="A43" s="8" t="s">
        <v>82</v>
      </c>
      <c r="B43" s="11" t="s">
        <v>144</v>
      </c>
      <c r="C43" s="12" t="s">
        <v>145</v>
      </c>
      <c r="D43" t="str">
        <f t="shared" si="0"/>
        <v xml:space="preserve">0.529 </v>
      </c>
      <c r="E43" s="16">
        <v>0.52900000000000003</v>
      </c>
    </row>
    <row r="44" spans="1:5">
      <c r="A44" s="8" t="s">
        <v>83</v>
      </c>
      <c r="B44" s="11" t="s">
        <v>140</v>
      </c>
      <c r="C44" s="12" t="s">
        <v>141</v>
      </c>
      <c r="D44" t="str">
        <f t="shared" si="0"/>
        <v xml:space="preserve">0.471 </v>
      </c>
      <c r="E44" s="16">
        <v>0.47099999999999997</v>
      </c>
    </row>
    <row r="45" spans="1:5">
      <c r="A45" s="8" t="s">
        <v>84</v>
      </c>
      <c r="B45" s="11" t="s">
        <v>148</v>
      </c>
      <c r="C45" s="12" t="s">
        <v>149</v>
      </c>
      <c r="D45" t="str">
        <f t="shared" si="0"/>
        <v xml:space="preserve">0.500 </v>
      </c>
      <c r="E45" s="16">
        <v>0.5</v>
      </c>
    </row>
    <row r="46" spans="1:5">
      <c r="A46" s="8" t="s">
        <v>85</v>
      </c>
      <c r="B46" s="11" t="s">
        <v>150</v>
      </c>
      <c r="C46" s="12" t="s">
        <v>151</v>
      </c>
      <c r="D46" t="str">
        <f t="shared" si="0"/>
        <v xml:space="preserve">0.571 </v>
      </c>
      <c r="E46" s="16">
        <v>0.57099999999999995</v>
      </c>
    </row>
    <row r="47" spans="1:5">
      <c r="A47" s="8" t="s">
        <v>86</v>
      </c>
      <c r="B47" s="11" t="s">
        <v>152</v>
      </c>
      <c r="C47" s="12" t="s">
        <v>153</v>
      </c>
      <c r="D47" t="str">
        <f t="shared" si="0"/>
        <v xml:space="preserve">0.714 </v>
      </c>
      <c r="E47" s="16">
        <v>0.71399999999999997</v>
      </c>
    </row>
    <row r="48" spans="1:5" ht="15" thickBot="1">
      <c r="A48" s="13" t="s">
        <v>157</v>
      </c>
      <c r="B48" s="14"/>
      <c r="C48" s="15"/>
      <c r="E48" s="16">
        <v>1.3</v>
      </c>
    </row>
    <row r="49" spans="1:5">
      <c r="A49" s="8" t="s">
        <v>158</v>
      </c>
      <c r="E49" s="16">
        <v>1.2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COAL</vt:lpstr>
      <vt:lpstr>FG</vt:lpstr>
      <vt:lpstr>OIL</vt:lpstr>
      <vt:lpstr>ROIL</vt:lpstr>
      <vt:lpstr>NG</vt:lpstr>
      <vt:lpstr>ELEH</vt:lpstr>
      <vt:lpstr>OTHE</vt:lpstr>
      <vt:lpstr>CONVERSION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dzhang</cp:lastModifiedBy>
  <dcterms:created xsi:type="dcterms:W3CDTF">2012-02-10T15:02:04Z</dcterms:created>
  <dcterms:modified xsi:type="dcterms:W3CDTF">2012-02-12T20:06:24Z</dcterms:modified>
</cp:coreProperties>
</file>