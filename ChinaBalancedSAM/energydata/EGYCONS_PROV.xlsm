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350" yWindow="2085" windowWidth="10710" windowHeight="7140" activeTab="6"/>
  </bookViews>
  <sheets>
    <sheet name="COAL" sheetId="1" r:id="rId1"/>
    <sheet name="FG" sheetId="5" r:id="rId2"/>
    <sheet name="OIL" sheetId="2" r:id="rId3"/>
    <sheet name="ROIL" sheetId="4" r:id="rId4"/>
    <sheet name="NG" sheetId="3" r:id="rId5"/>
    <sheet name="ELEH" sheetId="6" r:id="rId6"/>
    <sheet name="OTHE" sheetId="7" r:id="rId7"/>
    <sheet name="CONVERSION" sheetId="8" r:id="rId8"/>
    <sheet name="Sheet1" sheetId="9" r:id="rId9"/>
  </sheets>
  <calcPr calcId="145621"/>
</workbook>
</file>

<file path=xl/calcChain.xml><?xml version="1.0" encoding="utf-8"?>
<calcChain xmlns="http://schemas.openxmlformats.org/spreadsheetml/2006/main">
  <c r="V32" i="1" l="1"/>
  <c r="A1" i="9"/>
  <c r="O32" i="7"/>
  <c r="O32" i="6"/>
  <c r="O32" i="3"/>
  <c r="O32" i="4"/>
  <c r="O32" i="2"/>
  <c r="O32" i="5"/>
  <c r="O32" i="1"/>
  <c r="V3" i="6" l="1"/>
  <c r="W3" i="6"/>
  <c r="V4" i="6"/>
  <c r="W4" i="6"/>
  <c r="V5" i="6"/>
  <c r="W5" i="6"/>
  <c r="X5" i="6" s="1"/>
  <c r="V6" i="6"/>
  <c r="W6" i="6"/>
  <c r="V7" i="6"/>
  <c r="W7" i="6"/>
  <c r="V8" i="6"/>
  <c r="W8" i="6"/>
  <c r="X8" i="6" s="1"/>
  <c r="V9" i="6"/>
  <c r="W9" i="6"/>
  <c r="X9" i="6" s="1"/>
  <c r="V10" i="6"/>
  <c r="W10" i="6"/>
  <c r="V11" i="6"/>
  <c r="W11" i="6"/>
  <c r="V12" i="6"/>
  <c r="W12" i="6"/>
  <c r="V13" i="6"/>
  <c r="W13" i="6"/>
  <c r="X13" i="6" s="1"/>
  <c r="V14" i="6"/>
  <c r="W14" i="6"/>
  <c r="V15" i="6"/>
  <c r="W15" i="6"/>
  <c r="V16" i="6"/>
  <c r="W16" i="6"/>
  <c r="V17" i="6"/>
  <c r="W17" i="6"/>
  <c r="X17" i="6" s="1"/>
  <c r="V18" i="6"/>
  <c r="W18" i="6"/>
  <c r="V19" i="6"/>
  <c r="W19" i="6"/>
  <c r="V20" i="6"/>
  <c r="W20" i="6"/>
  <c r="V21" i="6"/>
  <c r="W21" i="6"/>
  <c r="X21" i="6" s="1"/>
  <c r="V22" i="6"/>
  <c r="W22" i="6"/>
  <c r="V23" i="6"/>
  <c r="W23" i="6"/>
  <c r="V24" i="6"/>
  <c r="W24" i="6"/>
  <c r="V25" i="6"/>
  <c r="W25" i="6"/>
  <c r="X25" i="6" s="1"/>
  <c r="V26" i="6"/>
  <c r="W26" i="6"/>
  <c r="X26" i="6" s="1"/>
  <c r="V27" i="6"/>
  <c r="W27" i="6"/>
  <c r="V28" i="6"/>
  <c r="W28" i="6"/>
  <c r="V29" i="6"/>
  <c r="W29" i="6"/>
  <c r="X29" i="6" s="1"/>
  <c r="V30" i="6"/>
  <c r="W30" i="6"/>
  <c r="V31" i="6"/>
  <c r="W31" i="6"/>
  <c r="W2" i="6"/>
  <c r="V2" i="6"/>
  <c r="V3" i="7"/>
  <c r="W3" i="7"/>
  <c r="X3" i="7" s="1"/>
  <c r="V4" i="7"/>
  <c r="W4" i="7"/>
  <c r="V5" i="7"/>
  <c r="W5" i="7"/>
  <c r="V6" i="7"/>
  <c r="W6" i="7"/>
  <c r="V7" i="7"/>
  <c r="W7" i="7"/>
  <c r="X7" i="7" s="1"/>
  <c r="V8" i="7"/>
  <c r="W8" i="7"/>
  <c r="V9" i="7"/>
  <c r="W9" i="7"/>
  <c r="X9" i="7" s="1"/>
  <c r="V10" i="7"/>
  <c r="W10" i="7"/>
  <c r="V11" i="7"/>
  <c r="W11" i="7"/>
  <c r="V12" i="7"/>
  <c r="W12" i="7"/>
  <c r="V13" i="7"/>
  <c r="W13" i="7"/>
  <c r="V14" i="7"/>
  <c r="W14" i="7"/>
  <c r="V15" i="7"/>
  <c r="W15" i="7"/>
  <c r="X15" i="7" s="1"/>
  <c r="V16" i="7"/>
  <c r="W16" i="7"/>
  <c r="V17" i="7"/>
  <c r="W17" i="7"/>
  <c r="V18" i="7"/>
  <c r="W18" i="7"/>
  <c r="V19" i="7"/>
  <c r="W19" i="7"/>
  <c r="X19" i="7" s="1"/>
  <c r="V20" i="7"/>
  <c r="W20" i="7"/>
  <c r="V21" i="7"/>
  <c r="W21" i="7"/>
  <c r="X21" i="7" s="1"/>
  <c r="V22" i="7"/>
  <c r="W22" i="7"/>
  <c r="V23" i="7"/>
  <c r="W23" i="7"/>
  <c r="X23" i="7" s="1"/>
  <c r="V24" i="7"/>
  <c r="W24" i="7"/>
  <c r="V25" i="7"/>
  <c r="W25" i="7"/>
  <c r="X25" i="7" s="1"/>
  <c r="V26" i="7"/>
  <c r="W26" i="7"/>
  <c r="V27" i="7"/>
  <c r="W27" i="7"/>
  <c r="X27" i="7" s="1"/>
  <c r="V28" i="7"/>
  <c r="W28" i="7"/>
  <c r="V29" i="7"/>
  <c r="W29" i="7"/>
  <c r="X29" i="7" s="1"/>
  <c r="V30" i="7"/>
  <c r="W30" i="7"/>
  <c r="V31" i="7"/>
  <c r="W31" i="7"/>
  <c r="X31" i="7" s="1"/>
  <c r="W2" i="7"/>
  <c r="V2" i="7"/>
  <c r="W2" i="3"/>
  <c r="V2" i="3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2" i="4"/>
  <c r="V3" i="2"/>
  <c r="W3" i="2"/>
  <c r="V4" i="2"/>
  <c r="W4" i="2"/>
  <c r="V5" i="2"/>
  <c r="W5" i="2"/>
  <c r="X5" i="2" s="1"/>
  <c r="V6" i="2"/>
  <c r="W6" i="2"/>
  <c r="V7" i="2"/>
  <c r="W7" i="2"/>
  <c r="V8" i="2"/>
  <c r="W8" i="2"/>
  <c r="V9" i="2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W2" i="2"/>
  <c r="V2" i="2"/>
  <c r="V3" i="5"/>
  <c r="W3" i="5"/>
  <c r="V4" i="5"/>
  <c r="W4" i="5"/>
  <c r="V5" i="5"/>
  <c r="W5" i="5"/>
  <c r="V6" i="5"/>
  <c r="W6" i="5"/>
  <c r="V7" i="5"/>
  <c r="W7" i="5"/>
  <c r="V8" i="5"/>
  <c r="W8" i="5"/>
  <c r="V9" i="5"/>
  <c r="W9" i="5"/>
  <c r="V10" i="5"/>
  <c r="W10" i="5"/>
  <c r="V11" i="5"/>
  <c r="W11" i="5"/>
  <c r="V12" i="5"/>
  <c r="W12" i="5"/>
  <c r="V13" i="5"/>
  <c r="W13" i="5"/>
  <c r="V14" i="5"/>
  <c r="W14" i="5"/>
  <c r="V15" i="5"/>
  <c r="W15" i="5"/>
  <c r="V16" i="5"/>
  <c r="W16" i="5"/>
  <c r="V17" i="5"/>
  <c r="W17" i="5"/>
  <c r="V18" i="5"/>
  <c r="W18" i="5"/>
  <c r="V19" i="5"/>
  <c r="W19" i="5"/>
  <c r="V20" i="5"/>
  <c r="W20" i="5"/>
  <c r="V21" i="5"/>
  <c r="W21" i="5"/>
  <c r="V22" i="5"/>
  <c r="W22" i="5"/>
  <c r="V23" i="5"/>
  <c r="W23" i="5"/>
  <c r="V24" i="5"/>
  <c r="W24" i="5"/>
  <c r="V25" i="5"/>
  <c r="W25" i="5"/>
  <c r="V26" i="5"/>
  <c r="W26" i="5"/>
  <c r="V27" i="5"/>
  <c r="W27" i="5"/>
  <c r="V28" i="5"/>
  <c r="W28" i="5"/>
  <c r="V29" i="5"/>
  <c r="W29" i="5"/>
  <c r="V30" i="5"/>
  <c r="W30" i="5"/>
  <c r="V31" i="5"/>
  <c r="W31" i="5"/>
  <c r="W2" i="5"/>
  <c r="V2" i="5"/>
  <c r="W31" i="3"/>
  <c r="V31" i="3"/>
  <c r="W30" i="3"/>
  <c r="V30" i="3"/>
  <c r="W29" i="3"/>
  <c r="V29" i="3"/>
  <c r="W28" i="3"/>
  <c r="V28" i="3"/>
  <c r="W27" i="3"/>
  <c r="V27" i="3"/>
  <c r="W26" i="3"/>
  <c r="V26" i="3"/>
  <c r="W25" i="3"/>
  <c r="V25" i="3"/>
  <c r="W24" i="3"/>
  <c r="V24" i="3"/>
  <c r="W23" i="3"/>
  <c r="V23" i="3"/>
  <c r="W22" i="3"/>
  <c r="V22" i="3"/>
  <c r="W21" i="3"/>
  <c r="V21" i="3"/>
  <c r="W20" i="3"/>
  <c r="V20" i="3"/>
  <c r="W19" i="3"/>
  <c r="V19" i="3"/>
  <c r="W18" i="3"/>
  <c r="V18" i="3"/>
  <c r="W17" i="3"/>
  <c r="V17" i="3"/>
  <c r="W16" i="3"/>
  <c r="V16" i="3"/>
  <c r="W15" i="3"/>
  <c r="V15" i="3"/>
  <c r="W14" i="3"/>
  <c r="V14" i="3"/>
  <c r="W13" i="3"/>
  <c r="V13" i="3"/>
  <c r="W12" i="3"/>
  <c r="V12" i="3"/>
  <c r="W11" i="3"/>
  <c r="V11" i="3"/>
  <c r="W10" i="3"/>
  <c r="V10" i="3"/>
  <c r="W9" i="3"/>
  <c r="V9" i="3"/>
  <c r="W8" i="3"/>
  <c r="V8" i="3"/>
  <c r="W7" i="3"/>
  <c r="V7" i="3"/>
  <c r="W6" i="3"/>
  <c r="V6" i="3"/>
  <c r="W5" i="3"/>
  <c r="V5" i="3"/>
  <c r="W4" i="3"/>
  <c r="V4" i="3"/>
  <c r="W3" i="3"/>
  <c r="V3" i="3"/>
  <c r="V3" i="1"/>
  <c r="W3" i="1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W2" i="1"/>
  <c r="X30" i="7" l="1"/>
  <c r="X28" i="7"/>
  <c r="X26" i="7"/>
  <c r="X24" i="7"/>
  <c r="X22" i="7"/>
  <c r="X20" i="7"/>
  <c r="X18" i="7"/>
  <c r="X17" i="7"/>
  <c r="X16" i="7"/>
  <c r="X14" i="7"/>
  <c r="X13" i="7"/>
  <c r="X12" i="7"/>
  <c r="X11" i="7"/>
  <c r="X10" i="7"/>
  <c r="X8" i="7"/>
  <c r="X6" i="7"/>
  <c r="X5" i="7"/>
  <c r="X4" i="7"/>
  <c r="X2" i="7"/>
  <c r="X31" i="6"/>
  <c r="X30" i="6"/>
  <c r="X28" i="6"/>
  <c r="X27" i="6"/>
  <c r="X24" i="6"/>
  <c r="X23" i="6"/>
  <c r="X22" i="6"/>
  <c r="X20" i="6"/>
  <c r="X19" i="6"/>
  <c r="X18" i="6"/>
  <c r="X16" i="6"/>
  <c r="X15" i="6"/>
  <c r="X14" i="6"/>
  <c r="X12" i="6"/>
  <c r="X11" i="6"/>
  <c r="X10" i="6"/>
  <c r="X7" i="6"/>
  <c r="X6" i="6"/>
  <c r="X4" i="6"/>
  <c r="X3" i="6"/>
  <c r="X2" i="6"/>
  <c r="X9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8" i="3"/>
  <c r="X7" i="3"/>
  <c r="X6" i="3"/>
  <c r="X5" i="3"/>
  <c r="X4" i="3"/>
  <c r="X3" i="3"/>
  <c r="X2" i="3"/>
  <c r="X31" i="2"/>
  <c r="X19" i="2"/>
  <c r="X11" i="2"/>
  <c r="X9" i="2"/>
  <c r="X29" i="5"/>
  <c r="X11" i="5"/>
  <c r="X7" i="5"/>
  <c r="X5" i="5"/>
  <c r="X23" i="5"/>
  <c r="X30" i="2"/>
  <c r="X13" i="2"/>
  <c r="X15" i="5"/>
  <c r="X31" i="4"/>
  <c r="X18" i="4"/>
  <c r="X17" i="4"/>
  <c r="X11" i="4"/>
  <c r="X30" i="4"/>
  <c r="X29" i="4"/>
  <c r="X28" i="4"/>
  <c r="X27" i="4"/>
  <c r="X26" i="4"/>
  <c r="X25" i="4"/>
  <c r="X24" i="4"/>
  <c r="X23" i="4"/>
  <c r="X22" i="4"/>
  <c r="X21" i="4"/>
  <c r="X20" i="4"/>
  <c r="X19" i="4"/>
  <c r="X16" i="4"/>
  <c r="X15" i="4"/>
  <c r="X14" i="4"/>
  <c r="X13" i="4"/>
  <c r="X12" i="4"/>
  <c r="X10" i="4"/>
  <c r="X9" i="4"/>
  <c r="X8" i="4"/>
  <c r="X7" i="4"/>
  <c r="X6" i="4"/>
  <c r="X5" i="4"/>
  <c r="X4" i="4"/>
  <c r="X3" i="4"/>
  <c r="X2" i="4"/>
  <c r="X31" i="5"/>
  <c r="X30" i="5"/>
  <c r="X28" i="5"/>
  <c r="X27" i="5"/>
  <c r="X26" i="5"/>
  <c r="X25" i="5"/>
  <c r="X24" i="5"/>
  <c r="X22" i="5"/>
  <c r="X21" i="5"/>
  <c r="X20" i="5"/>
  <c r="X19" i="5"/>
  <c r="X18" i="5"/>
  <c r="X17" i="5"/>
  <c r="X16" i="5"/>
  <c r="X14" i="5"/>
  <c r="X13" i="5"/>
  <c r="X12" i="5"/>
  <c r="X10" i="5"/>
  <c r="X9" i="5"/>
  <c r="X8" i="5"/>
  <c r="X6" i="5"/>
  <c r="X4" i="5"/>
  <c r="X3" i="5"/>
  <c r="X2" i="5"/>
  <c r="X29" i="2"/>
  <c r="X28" i="2"/>
  <c r="X27" i="2"/>
  <c r="X26" i="2"/>
  <c r="X25" i="2"/>
  <c r="X24" i="2"/>
  <c r="X23" i="2"/>
  <c r="X22" i="2"/>
  <c r="X21" i="2"/>
  <c r="X20" i="2"/>
  <c r="X18" i="2"/>
  <c r="X17" i="2"/>
  <c r="X16" i="2"/>
  <c r="X15" i="2"/>
  <c r="X14" i="2"/>
  <c r="X12" i="2"/>
  <c r="X10" i="2"/>
  <c r="X8" i="2"/>
  <c r="X7" i="2"/>
  <c r="X6" i="2"/>
  <c r="X4" i="2"/>
  <c r="X3" i="2"/>
  <c r="X2" i="2"/>
  <c r="X19" i="1"/>
  <c r="X26" i="1"/>
  <c r="X14" i="1"/>
  <c r="X10" i="1"/>
  <c r="X31" i="1"/>
  <c r="X30" i="1"/>
  <c r="X29" i="1"/>
  <c r="X28" i="1"/>
  <c r="X27" i="1"/>
  <c r="X25" i="1"/>
  <c r="X24" i="1"/>
  <c r="X23" i="1"/>
  <c r="X22" i="1"/>
  <c r="X21" i="1"/>
  <c r="X20" i="1"/>
  <c r="X18" i="1"/>
  <c r="X17" i="1"/>
  <c r="X16" i="1"/>
  <c r="X15" i="1"/>
  <c r="X13" i="1"/>
  <c r="X12" i="1"/>
  <c r="X11" i="1"/>
  <c r="X9" i="1"/>
  <c r="X8" i="1"/>
  <c r="X7" i="1"/>
  <c r="X6" i="1"/>
  <c r="X5" i="1"/>
  <c r="X4" i="1"/>
  <c r="X3" i="1"/>
  <c r="V2" i="1"/>
  <c r="X2" i="1" s="1"/>
  <c r="D6" i="8"/>
  <c r="D7" i="8"/>
  <c r="D8" i="8"/>
  <c r="D9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5" i="8"/>
</calcChain>
</file>

<file path=xl/sharedStrings.xml><?xml version="1.0" encoding="utf-8"?>
<sst xmlns="http://schemas.openxmlformats.org/spreadsheetml/2006/main" count="485" uniqueCount="160">
  <si>
    <t>BEJ</t>
  </si>
  <si>
    <t>TAJ</t>
  </si>
  <si>
    <t>HEB</t>
  </si>
  <si>
    <t>SHX</t>
  </si>
  <si>
    <t>NMG</t>
  </si>
  <si>
    <t>LIA</t>
  </si>
  <si>
    <t>JIL</t>
  </si>
  <si>
    <t>HLJ</t>
  </si>
  <si>
    <t>SHH</t>
  </si>
  <si>
    <t>JSU</t>
  </si>
  <si>
    <t>ZHJ</t>
  </si>
  <si>
    <t>ANH</t>
  </si>
  <si>
    <t>FUJ</t>
  </si>
  <si>
    <t>JXI</t>
  </si>
  <si>
    <t>SHD</t>
  </si>
  <si>
    <t>HEN</t>
  </si>
  <si>
    <t>HUB</t>
  </si>
  <si>
    <t>HUN</t>
  </si>
  <si>
    <t>GUD</t>
  </si>
  <si>
    <t>GXI</t>
  </si>
  <si>
    <t>HAI</t>
  </si>
  <si>
    <t>CHQ</t>
  </si>
  <si>
    <t>SIC</t>
  </si>
  <si>
    <t>GZH</t>
  </si>
  <si>
    <t>YUN</t>
  </si>
  <si>
    <t>SHA</t>
  </si>
  <si>
    <t>GAN</t>
  </si>
  <si>
    <t>NXA</t>
  </si>
  <si>
    <t>QIH</t>
  </si>
  <si>
    <t>XIN</t>
  </si>
  <si>
    <t>COAL</t>
  </si>
  <si>
    <t>PROD</t>
  </si>
  <si>
    <t>DX</t>
  </si>
  <si>
    <t>X</t>
  </si>
  <si>
    <t>RC</t>
  </si>
  <si>
    <t>DRC</t>
  </si>
  <si>
    <t>ROIL</t>
  </si>
  <si>
    <t>FG</t>
  </si>
  <si>
    <t>ELEH</t>
  </si>
  <si>
    <t>AGR</t>
  </si>
  <si>
    <t>IND</t>
  </si>
  <si>
    <t>CON</t>
  </si>
  <si>
    <t>TP</t>
  </si>
  <si>
    <t>OTH</t>
  </si>
  <si>
    <t>FU</t>
  </si>
  <si>
    <t>OTHE</t>
  </si>
  <si>
    <t>NG</t>
  </si>
  <si>
    <t>OIL</t>
  </si>
  <si>
    <t>WRHR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</si>
  <si>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</si>
  <si>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</si>
  <si>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</si>
  <si>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</si>
  <si>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</si>
  <si>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</si>
  <si>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</si>
  <si>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</si>
  <si>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</si>
  <si>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</si>
  <si>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</si>
  <si>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</si>
  <si>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</si>
  <si>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</si>
  <si>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</si>
  <si>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</si>
  <si>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</si>
  <si>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</si>
  <si>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</si>
  <si>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</si>
  <si>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</si>
  <si>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</si>
  <si>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</si>
  <si>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</si>
  <si>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</si>
  <si>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</si>
  <si>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</si>
  <si>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</si>
  <si>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</si>
  <si>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</si>
  <si>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</si>
  <si>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</si>
  <si>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</si>
  <si>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</si>
  <si>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</si>
  <si>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</si>
  <si>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</si>
  <si>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</si>
  <si>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r>
      <t xml:space="preserve">20 908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</si>
  <si>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0.7143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</si>
  <si>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洗 精 煤</t>
    <phoneticPr fontId="0" type="noConversion"/>
  </si>
  <si>
    <r>
      <t xml:space="preserve">26 344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</si>
  <si>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0.9000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</si>
  <si>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8 363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</si>
  <si>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0.2857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</si>
  <si>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>8 363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charset val="134"/>
      </rPr>
      <t>千克</t>
    </r>
  </si>
  <si>
    <r>
      <t>0.2857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</si>
  <si>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28 435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</si>
  <si>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0.9714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</si>
  <si>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41 816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</si>
  <si>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</si>
  <si>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燃 料 油</t>
    <phoneticPr fontId="0" type="noConversion"/>
  </si>
  <si>
    <r>
      <t xml:space="preserve">43 070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</si>
  <si>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</si>
  <si>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42 652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</si>
  <si>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</si>
  <si>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50 179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</si>
  <si>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1.7143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</si>
  <si>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46055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</si>
  <si>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1.5714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</si>
  <si>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天 然 气</t>
    <phoneticPr fontId="0" type="noConversion"/>
  </si>
  <si>
    <r>
      <t>38 931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</si>
  <si>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1.3300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</si>
  <si>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>16 726</t>
    </r>
    <r>
      <rPr>
        <sz val="10"/>
        <rFont val="宋体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charset val="134"/>
      </rPr>
      <t>立方米</t>
    </r>
  </si>
  <si>
    <r>
      <t>0.5714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</si>
  <si>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 xml:space="preserve"> 发 生 炉 煤 气</t>
    <phoneticPr fontId="0" type="noConversion"/>
  </si>
  <si>
    <r>
      <t xml:space="preserve">5 227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</si>
  <si>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0.1786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</si>
  <si>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19 235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</si>
  <si>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0.6571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</si>
  <si>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35 544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</si>
  <si>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1.2143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</si>
  <si>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 xml:space="preserve"> 焦炭制气</t>
    <phoneticPr fontId="0" type="noConversion"/>
  </si>
  <si>
    <r>
      <t xml:space="preserve">16 308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</si>
  <si>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0.5571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</si>
  <si>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15 054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</si>
  <si>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0.5143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</si>
  <si>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10 454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</si>
  <si>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0.3571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</si>
  <si>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33 453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</si>
  <si>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1.1429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</si>
  <si>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热力(当量)</t>
    <phoneticPr fontId="0" type="noConversion"/>
  </si>
  <si>
    <r>
      <t xml:space="preserve">0.03412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百万焦耳</t>
    </r>
  </si>
  <si>
    <r>
      <t xml:space="preserve">(0.14286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>)</t>
    </r>
  </si>
  <si>
    <t>电力(当量)</t>
    <phoneticPr fontId="0" type="noConversion"/>
  </si>
  <si>
    <r>
      <t xml:space="preserve">3 596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千瓦小时</t>
    </r>
  </si>
  <si>
    <r>
      <t xml:space="preserve">0.1229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千瓦小时</t>
    </r>
  </si>
  <si>
    <t xml:space="preserve">    (等价)</t>
    <phoneticPr fontId="0" type="noConversion"/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</si>
  <si>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算</t>
    </r>
  </si>
  <si>
    <r>
      <t xml:space="preserve">18 817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</si>
  <si>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0.643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</si>
  <si>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13 799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</si>
  <si>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0.471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</si>
  <si>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12 545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</si>
  <si>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0.429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</si>
  <si>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15 472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</si>
  <si>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</si>
  <si>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15 890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</si>
  <si>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</si>
  <si>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14 635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</si>
  <si>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</si>
  <si>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16 726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</si>
  <si>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</si>
  <si>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20 908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</si>
  <si>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</si>
  <si>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/>
  </si>
  <si>
    <t>型煤</t>
  </si>
  <si>
    <t>INV</t>
  </si>
  <si>
    <t>其他焦化产品</t>
  </si>
  <si>
    <t>其他石油产品</t>
  </si>
  <si>
    <t>0503/0502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</si>
</sst>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5" x14ac:knownFonts="1">
    <font>
      <sz val="11"/>
      <color theme="1"/>
      <name val="宋体"/>
      <family val="2"/>
      <scheme val="minor"/>
    </font>
    <font>
      <sz val="16"/>
      <name val="黑体"/>
      <charset val="134"/>
    </font>
    <font>
      <sz val="10"/>
      <name val="宋体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7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2" fontId="0" fillId="0" borderId="0" xfId="0" applyNumberFormat="1"/>
    <xf numFmtId="0" fontId="0" fillId="2" borderId="0" xfId="0" applyFill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2" fillId="5" borderId="4" xfId="0" applyFont="1" applyFill="1" applyBorder="1" applyAlignment="1">
      <alignment horizontal="left" vertical="center"/>
    </xf>
    <xf numFmtId="0" fontId="0" fillId="5" borderId="0" xfId="0" applyFill="1"/>
    <xf numFmtId="0" fontId="2" fillId="3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3"/>
  <sheetViews>
    <sheetView zoomScale="70" zoomScaleNormal="70" workbookViewId="0">
      <selection activeCell="V32" sqref="V32"/>
    </sheetView>
  </sheetViews>
  <sheetFormatPr defaultRowHeight="13.5" x14ac:dyDescent="0.15"/>
  <cols>
    <col min="2" max="2" width="11.125" customWidth="1"/>
    <col min="3" max="3" width="10.625" customWidth="1"/>
    <col min="6" max="6" width="10.125" customWidth="1"/>
    <col min="7" max="9" width="10.5" customWidth="1"/>
    <col min="10" max="10" width="9.875" customWidth="1"/>
    <col min="12" max="13" width="9.75" customWidth="1"/>
    <col min="22" max="22" width="10.625" customWidth="1"/>
  </cols>
  <sheetData>
    <row r="1" spans="1:24" x14ac:dyDescent="0.15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 x14ac:dyDescent="0.15">
      <c r="A2" s="1" t="s">
        <v>0</v>
      </c>
      <c r="B2" s="3">
        <v>629.56190000000004</v>
      </c>
      <c r="C2">
        <v>303.241152</v>
      </c>
      <c r="D2">
        <v>137.00169600000001</v>
      </c>
      <c r="E2">
        <v>2177.6182840000001</v>
      </c>
      <c r="F2">
        <v>0</v>
      </c>
      <c r="G2">
        <v>-0.15710399999999858</v>
      </c>
      <c r="H2">
        <v>0</v>
      </c>
      <c r="J2">
        <v>205.528728</v>
      </c>
      <c r="L2">
        <v>984.84370399999989</v>
      </c>
      <c r="N2">
        <v>36.899567999999995</v>
      </c>
      <c r="O2">
        <v>499.72806800000001</v>
      </c>
      <c r="P2">
        <v>11.575056</v>
      </c>
      <c r="Q2">
        <v>19.779792</v>
      </c>
      <c r="R2">
        <v>43.647455999999998</v>
      </c>
      <c r="S2">
        <v>195.89894399999997</v>
      </c>
      <c r="T2">
        <v>200.7696</v>
      </c>
      <c r="U2">
        <v>168.10931600000001</v>
      </c>
      <c r="V2" s="3">
        <f>B2+G2+E2+F2</f>
        <v>2807.0230799999999</v>
      </c>
      <c r="W2" s="3">
        <f>C2+D2+SUM(H2:U2)</f>
        <v>2807.0230799999995</v>
      </c>
      <c r="X2" s="3">
        <f>V2-W2</f>
        <v>0</v>
      </c>
    </row>
    <row r="3" spans="1:24" x14ac:dyDescent="0.15">
      <c r="A3" s="1" t="s">
        <v>1</v>
      </c>
      <c r="B3">
        <v>173.72335199999998</v>
      </c>
      <c r="C3">
        <v>3.6239999999884642E-2</v>
      </c>
      <c r="D3">
        <v>0</v>
      </c>
      <c r="E3">
        <v>2974.5210112519999</v>
      </c>
      <c r="F3">
        <v>0</v>
      </c>
      <c r="G3">
        <v>0</v>
      </c>
      <c r="H3">
        <v>0</v>
      </c>
      <c r="J3">
        <v>380.10599999999999</v>
      </c>
      <c r="L3">
        <v>1753.704336</v>
      </c>
      <c r="N3">
        <v>12.394080000000001</v>
      </c>
      <c r="O3">
        <v>642.86068799999998</v>
      </c>
      <c r="P3">
        <v>16.068816000000002</v>
      </c>
      <c r="Q3">
        <v>11.227152</v>
      </c>
      <c r="R3">
        <v>28.716576</v>
      </c>
      <c r="S3">
        <v>39.559584000000001</v>
      </c>
      <c r="T3">
        <v>54.707904000000006</v>
      </c>
      <c r="U3">
        <v>208.862976</v>
      </c>
      <c r="V3" s="3">
        <f t="shared" ref="V3:V31" si="0">B3+G3+E3+F3</f>
        <v>3148.2443632519999</v>
      </c>
      <c r="W3" s="3">
        <f t="shared" ref="W3:W31" si="1">C3+D3+SUM(H3:U3)</f>
        <v>3148.2443519999997</v>
      </c>
      <c r="X3" s="3">
        <f t="shared" ref="X3:X31" si="2">V3-W3</f>
        <v>1.1252000149397645E-5</v>
      </c>
    </row>
    <row r="4" spans="1:24" x14ac:dyDescent="0.15">
      <c r="A4" s="1" t="s">
        <v>2</v>
      </c>
      <c r="B4">
        <v>7027.3257919999987</v>
      </c>
      <c r="C4">
        <v>1888.4082972552001</v>
      </c>
      <c r="D4">
        <v>204.51019200000002</v>
      </c>
      <c r="E4">
        <v>14427.527718016687</v>
      </c>
      <c r="F4">
        <v>8.9498400000000018</v>
      </c>
      <c r="G4">
        <v>-794.07063599999935</v>
      </c>
      <c r="H4">
        <v>16.47072</v>
      </c>
      <c r="J4">
        <v>4725.4936760000001</v>
      </c>
      <c r="L4">
        <v>6443.4396360000001</v>
      </c>
      <c r="N4">
        <v>15.915168</v>
      </c>
      <c r="O4">
        <v>5223.1188194494853</v>
      </c>
      <c r="P4">
        <v>26.926943999999999</v>
      </c>
      <c r="Q4">
        <v>32.046411840000005</v>
      </c>
      <c r="R4">
        <v>34.246752000000001</v>
      </c>
      <c r="S4">
        <v>153.30535008000001</v>
      </c>
      <c r="T4">
        <v>705.41110787200023</v>
      </c>
      <c r="U4">
        <v>1200.4397120000001</v>
      </c>
      <c r="V4" s="3">
        <f t="shared" si="0"/>
        <v>20669.732714016689</v>
      </c>
      <c r="W4" s="3">
        <f t="shared" si="1"/>
        <v>20669.732786496686</v>
      </c>
      <c r="X4" s="3">
        <f t="shared" si="2"/>
        <v>-7.2479997470509261E-5</v>
      </c>
    </row>
    <row r="5" spans="1:24" x14ac:dyDescent="0.15">
      <c r="A5" s="1" t="s">
        <v>3</v>
      </c>
      <c r="B5">
        <v>45925.096336000002</v>
      </c>
      <c r="C5">
        <v>37044.564883999999</v>
      </c>
      <c r="D5">
        <v>2121.4895999999999</v>
      </c>
      <c r="E5">
        <v>16144.711128000001</v>
      </c>
      <c r="F5">
        <v>0</v>
      </c>
      <c r="G5">
        <v>838.14276799999891</v>
      </c>
      <c r="H5">
        <v>22.862952</v>
      </c>
      <c r="J5">
        <v>12198.767660000001</v>
      </c>
      <c r="L5">
        <v>6106.2236039999998</v>
      </c>
      <c r="N5">
        <v>72.733679999999993</v>
      </c>
      <c r="O5">
        <v>2765.538728</v>
      </c>
      <c r="P5">
        <v>42.951647999999999</v>
      </c>
      <c r="Q5">
        <v>39.581327999999999</v>
      </c>
      <c r="R5">
        <v>47.556959999999997</v>
      </c>
      <c r="S5">
        <v>26.629152000000001</v>
      </c>
      <c r="T5">
        <v>512.58904799999993</v>
      </c>
      <c r="U5">
        <v>1906.4609879999998</v>
      </c>
      <c r="V5" s="3">
        <f t="shared" si="0"/>
        <v>62907.950232000003</v>
      </c>
      <c r="W5" s="3">
        <f t="shared" si="1"/>
        <v>62907.950232000003</v>
      </c>
      <c r="X5" s="3">
        <f t="shared" si="2"/>
        <v>0</v>
      </c>
    </row>
    <row r="6" spans="1:24" x14ac:dyDescent="0.15">
      <c r="A6" s="1" t="s">
        <v>4</v>
      </c>
      <c r="B6">
        <v>26714.081394719993</v>
      </c>
      <c r="C6">
        <v>12604.832575999999</v>
      </c>
      <c r="D6">
        <v>935.26742400000012</v>
      </c>
      <c r="E6">
        <v>1156.0746027584023</v>
      </c>
      <c r="F6">
        <v>513.20455199999992</v>
      </c>
      <c r="G6">
        <v>-765.80498691520029</v>
      </c>
      <c r="H6">
        <v>0</v>
      </c>
      <c r="J6">
        <v>1785.0751570175998</v>
      </c>
      <c r="L6">
        <v>8427.629675447999</v>
      </c>
      <c r="N6">
        <v>84.940160000000006</v>
      </c>
      <c r="O6">
        <v>1525.5187113423997</v>
      </c>
      <c r="P6">
        <v>68.561095999999992</v>
      </c>
      <c r="Q6">
        <v>96.60368695999999</v>
      </c>
      <c r="R6">
        <v>162.777612</v>
      </c>
      <c r="S6">
        <v>162.76233999999999</v>
      </c>
      <c r="T6">
        <v>437.5349520000002</v>
      </c>
      <c r="U6">
        <v>1326.0521717951997</v>
      </c>
      <c r="V6" s="3">
        <f t="shared" si="0"/>
        <v>27617.555562563193</v>
      </c>
      <c r="W6" s="3">
        <f t="shared" si="1"/>
        <v>27617.555562563197</v>
      </c>
      <c r="X6" s="3">
        <f t="shared" si="2"/>
        <v>0</v>
      </c>
    </row>
    <row r="7" spans="1:24" x14ac:dyDescent="0.15">
      <c r="A7" s="2" t="s">
        <v>5</v>
      </c>
      <c r="B7">
        <v>5572.0796960000007</v>
      </c>
      <c r="C7">
        <v>756.53714400000001</v>
      </c>
      <c r="D7">
        <v>0</v>
      </c>
      <c r="E7">
        <v>7450.476592</v>
      </c>
      <c r="F7">
        <v>126.84</v>
      </c>
      <c r="G7">
        <v>-852.56748400000015</v>
      </c>
      <c r="H7">
        <v>7.0830000000000002</v>
      </c>
      <c r="J7">
        <v>2074.518</v>
      </c>
      <c r="L7">
        <v>5526.7344719999992</v>
      </c>
      <c r="N7">
        <v>88.432848000000007</v>
      </c>
      <c r="O7">
        <v>2391.6903320000001</v>
      </c>
      <c r="P7">
        <v>56.514716</v>
      </c>
      <c r="Q7">
        <v>64.804416000000003</v>
      </c>
      <c r="R7">
        <v>22.048416</v>
      </c>
      <c r="S7">
        <v>37.667856</v>
      </c>
      <c r="T7">
        <v>340.67544000000009</v>
      </c>
      <c r="U7">
        <v>930.12216399999988</v>
      </c>
      <c r="V7" s="3">
        <f t="shared" si="0"/>
        <v>12296.828804000001</v>
      </c>
      <c r="W7" s="3">
        <f t="shared" si="1"/>
        <v>12296.828804000001</v>
      </c>
      <c r="X7" s="3">
        <f t="shared" si="2"/>
        <v>0</v>
      </c>
    </row>
    <row r="8" spans="1:24" x14ac:dyDescent="0.15">
      <c r="A8" s="1" t="s">
        <v>6</v>
      </c>
      <c r="B8">
        <v>2910.2164359999997</v>
      </c>
      <c r="C8">
        <v>501.63556000000017</v>
      </c>
      <c r="D8">
        <v>12.908688</v>
      </c>
      <c r="E8">
        <v>3839.5768800000001</v>
      </c>
      <c r="F8">
        <v>9.5093759999999996</v>
      </c>
      <c r="G8">
        <v>-40.354564000000011</v>
      </c>
      <c r="H8">
        <v>107.34616800000001</v>
      </c>
      <c r="J8">
        <v>345.08699999999999</v>
      </c>
      <c r="L8">
        <v>2835.208224</v>
      </c>
      <c r="N8">
        <v>55.599407999999997</v>
      </c>
      <c r="O8">
        <v>1761.7394919999999</v>
      </c>
      <c r="P8">
        <v>58.099967999999997</v>
      </c>
      <c r="Q8">
        <v>65.448648000000006</v>
      </c>
      <c r="R8">
        <v>125.665824</v>
      </c>
      <c r="S8">
        <v>191.89804799999999</v>
      </c>
      <c r="T8">
        <v>194.94935999999984</v>
      </c>
      <c r="U8">
        <v>463.36174</v>
      </c>
      <c r="V8" s="3">
        <f t="shared" si="0"/>
        <v>6718.948128</v>
      </c>
      <c r="W8" s="3">
        <f t="shared" si="1"/>
        <v>6718.948128</v>
      </c>
      <c r="X8" s="3">
        <f t="shared" si="2"/>
        <v>0</v>
      </c>
    </row>
    <row r="9" spans="1:24" x14ac:dyDescent="0.15">
      <c r="A9" s="1" t="s">
        <v>7</v>
      </c>
      <c r="B9">
        <v>7883.1476359999988</v>
      </c>
      <c r="C9">
        <v>2365.0590320000001</v>
      </c>
      <c r="D9">
        <v>6.8856000000000002</v>
      </c>
      <c r="E9">
        <v>2326.8210240000008</v>
      </c>
      <c r="F9">
        <v>1.0147199999999998</v>
      </c>
      <c r="G9">
        <v>-737.25459999999998</v>
      </c>
      <c r="H9">
        <v>142.260864</v>
      </c>
      <c r="J9">
        <v>887.04528400000004</v>
      </c>
      <c r="L9">
        <v>3556.7308360000002</v>
      </c>
      <c r="N9">
        <v>32.384064000000002</v>
      </c>
      <c r="O9">
        <v>1551.881556</v>
      </c>
      <c r="P9">
        <v>3.5442719999999999</v>
      </c>
      <c r="Q9">
        <v>91.194335999999993</v>
      </c>
      <c r="R9">
        <v>0</v>
      </c>
      <c r="S9">
        <v>0</v>
      </c>
      <c r="T9">
        <v>109.14763199999999</v>
      </c>
      <c r="U9">
        <v>727.59530399999994</v>
      </c>
      <c r="V9" s="3">
        <f t="shared" si="0"/>
        <v>9473.7287799999976</v>
      </c>
      <c r="W9" s="3">
        <f t="shared" si="1"/>
        <v>9473.7287800000013</v>
      </c>
      <c r="X9" s="3">
        <f t="shared" si="2"/>
        <v>0</v>
      </c>
    </row>
    <row r="10" spans="1:24" x14ac:dyDescent="0.15">
      <c r="A10" s="1" t="s">
        <v>8</v>
      </c>
      <c r="B10">
        <v>137.07422399999973</v>
      </c>
      <c r="C10">
        <v>3179.4021588426754</v>
      </c>
      <c r="D10">
        <v>0</v>
      </c>
      <c r="E10">
        <v>7184.097600000001</v>
      </c>
      <c r="F10">
        <v>0</v>
      </c>
      <c r="G10">
        <v>0</v>
      </c>
      <c r="H10">
        <v>33.500736000000003</v>
      </c>
      <c r="J10">
        <v>999.39600000000007</v>
      </c>
      <c r="L10">
        <v>2207.835024</v>
      </c>
      <c r="N10">
        <v>1.4496</v>
      </c>
      <c r="O10">
        <v>631.34882515732386</v>
      </c>
      <c r="P10">
        <v>7.5379200000000006</v>
      </c>
      <c r="Q10">
        <v>4.2908159999999995</v>
      </c>
      <c r="R10">
        <v>30.572064000000001</v>
      </c>
      <c r="S10">
        <v>34.065600000000003</v>
      </c>
      <c r="T10">
        <v>71.81318399999995</v>
      </c>
      <c r="U10">
        <v>119.95989599999999</v>
      </c>
      <c r="V10" s="3">
        <f t="shared" si="0"/>
        <v>7321.1718240000009</v>
      </c>
      <c r="W10" s="3">
        <f t="shared" si="1"/>
        <v>7321.1718239999991</v>
      </c>
      <c r="X10" s="3">
        <f t="shared" si="2"/>
        <v>0</v>
      </c>
    </row>
    <row r="11" spans="1:24" x14ac:dyDescent="0.15">
      <c r="A11" s="1" t="s">
        <v>9</v>
      </c>
      <c r="B11">
        <v>2292.4317520000009</v>
      </c>
      <c r="C11">
        <v>358.97609600000004</v>
      </c>
      <c r="D11">
        <v>47.836799999999997</v>
      </c>
      <c r="E11">
        <v>13194.536626399997</v>
      </c>
      <c r="F11">
        <v>173.952</v>
      </c>
      <c r="G11">
        <v>-88.860216000000008</v>
      </c>
      <c r="H11">
        <v>2.8388399999999998</v>
      </c>
      <c r="J11">
        <v>1337.712456</v>
      </c>
      <c r="L11">
        <v>9197.2172824000008</v>
      </c>
      <c r="N11">
        <v>45.669647999999995</v>
      </c>
      <c r="O11">
        <v>3817.2654480000001</v>
      </c>
      <c r="P11">
        <v>3.2616000000000001</v>
      </c>
      <c r="Q11">
        <v>30.659039999999997</v>
      </c>
      <c r="R11">
        <v>28.992000000000001</v>
      </c>
      <c r="S11">
        <v>0</v>
      </c>
      <c r="T11">
        <v>68.186447999999629</v>
      </c>
      <c r="U11">
        <v>633.44450399999994</v>
      </c>
      <c r="V11" s="3">
        <f t="shared" si="0"/>
        <v>15572.060162399997</v>
      </c>
      <c r="W11" s="3">
        <f t="shared" si="1"/>
        <v>15572.060162399999</v>
      </c>
      <c r="X11" s="3">
        <f t="shared" si="2"/>
        <v>0</v>
      </c>
    </row>
    <row r="12" spans="1:24" x14ac:dyDescent="0.15">
      <c r="A12" s="1" t="s">
        <v>10</v>
      </c>
      <c r="B12">
        <v>466.6139508800004</v>
      </c>
      <c r="C12">
        <v>6.3760000000189151E-3</v>
      </c>
      <c r="D12">
        <v>0</v>
      </c>
      <c r="E12">
        <v>9320.6328384000008</v>
      </c>
      <c r="F12">
        <v>139.24451711999998</v>
      </c>
      <c r="G12">
        <v>4.6515825599999872</v>
      </c>
      <c r="H12">
        <v>0</v>
      </c>
      <c r="J12">
        <v>131.69512896000001</v>
      </c>
      <c r="L12">
        <v>6739.9536600000001</v>
      </c>
      <c r="N12">
        <v>6.6249619199999996</v>
      </c>
      <c r="O12">
        <v>2496.9896355599999</v>
      </c>
      <c r="P12">
        <v>7.2480000000000002</v>
      </c>
      <c r="Q12">
        <v>2.8387516800000001</v>
      </c>
      <c r="R12">
        <v>21.357599999999998</v>
      </c>
      <c r="S12">
        <v>0</v>
      </c>
      <c r="T12">
        <v>54.336926400000287</v>
      </c>
      <c r="U12">
        <v>470.09184843999998</v>
      </c>
      <c r="V12" s="3">
        <f t="shared" si="0"/>
        <v>9931.1428889600011</v>
      </c>
      <c r="W12" s="3">
        <f t="shared" si="1"/>
        <v>9931.1428889599993</v>
      </c>
      <c r="X12" s="3">
        <f t="shared" si="2"/>
        <v>0</v>
      </c>
    </row>
    <row r="13" spans="1:24" x14ac:dyDescent="0.15">
      <c r="A13" s="1" t="s">
        <v>11</v>
      </c>
      <c r="B13">
        <v>7037.7878000000001</v>
      </c>
      <c r="C13">
        <v>2161.3525215784089</v>
      </c>
      <c r="D13">
        <v>0</v>
      </c>
      <c r="E13">
        <v>2454.4285253101534</v>
      </c>
      <c r="F13">
        <v>59.588999999999999</v>
      </c>
      <c r="G13">
        <v>-210.33398087999984</v>
      </c>
      <c r="H13">
        <v>44.414999999999999</v>
      </c>
      <c r="J13">
        <v>764.38536000000011</v>
      </c>
      <c r="L13">
        <v>3038.6773760000001</v>
      </c>
      <c r="N13">
        <v>26.824847999999999</v>
      </c>
      <c r="O13">
        <v>2636.8126508517448</v>
      </c>
      <c r="P13">
        <v>27.578639999999996</v>
      </c>
      <c r="Q13">
        <v>11.067696</v>
      </c>
      <c r="R13">
        <v>46.3872</v>
      </c>
      <c r="S13">
        <v>19.931999999999999</v>
      </c>
      <c r="T13">
        <v>258.72000000000014</v>
      </c>
      <c r="U13">
        <v>305.31805199999997</v>
      </c>
      <c r="V13" s="3">
        <f t="shared" si="0"/>
        <v>9341.4713444301524</v>
      </c>
      <c r="W13" s="3">
        <f t="shared" si="1"/>
        <v>9341.4713444301542</v>
      </c>
      <c r="X13" s="3">
        <f t="shared" si="2"/>
        <v>0</v>
      </c>
    </row>
    <row r="14" spans="1:24" x14ac:dyDescent="0.15">
      <c r="A14" s="1" t="s">
        <v>12</v>
      </c>
      <c r="B14">
        <v>1744.2024040000001</v>
      </c>
      <c r="C14">
        <v>241.96139947480003</v>
      </c>
      <c r="D14">
        <v>0</v>
      </c>
      <c r="E14">
        <v>2995.7108212520002</v>
      </c>
      <c r="F14">
        <v>133.0008</v>
      </c>
      <c r="G14">
        <v>6.3770920000000011</v>
      </c>
      <c r="H14">
        <v>0.79003200000000007</v>
      </c>
      <c r="J14">
        <v>98.120136000000002</v>
      </c>
      <c r="L14">
        <v>2371.929744</v>
      </c>
      <c r="N14">
        <v>45.328992</v>
      </c>
      <c r="O14">
        <v>1755.3718119999999</v>
      </c>
      <c r="P14">
        <v>5.7259200000000003</v>
      </c>
      <c r="Q14">
        <v>4.2038399999999996</v>
      </c>
      <c r="R14">
        <v>20.635055999999999</v>
      </c>
      <c r="S14">
        <v>46.271232000000005</v>
      </c>
      <c r="T14">
        <v>97.485600000000147</v>
      </c>
      <c r="U14">
        <v>191.46734799999999</v>
      </c>
      <c r="V14" s="3">
        <f t="shared" si="0"/>
        <v>4879.2911172519998</v>
      </c>
      <c r="W14" s="3">
        <f t="shared" si="1"/>
        <v>4879.2911114747994</v>
      </c>
      <c r="X14" s="3">
        <f t="shared" si="2"/>
        <v>5.7772003856371157E-6</v>
      </c>
    </row>
    <row r="15" spans="1:24" x14ac:dyDescent="0.15">
      <c r="A15" s="1" t="s">
        <v>13</v>
      </c>
      <c r="B15">
        <v>2350.1225159999999</v>
      </c>
      <c r="C15">
        <v>418.09657599999991</v>
      </c>
      <c r="D15">
        <v>0</v>
      </c>
      <c r="E15">
        <v>2060.0753520000003</v>
      </c>
      <c r="F15">
        <v>0</v>
      </c>
      <c r="G15">
        <v>-210.35301200000001</v>
      </c>
      <c r="H15">
        <v>120.12055199999999</v>
      </c>
      <c r="J15">
        <v>529.04700000000003</v>
      </c>
      <c r="L15">
        <v>1711.9768640000002</v>
      </c>
      <c r="N15">
        <v>19.721807999999999</v>
      </c>
      <c r="O15">
        <v>1072.316284</v>
      </c>
      <c r="P15">
        <v>0</v>
      </c>
      <c r="Q15">
        <v>2.0076960000000001</v>
      </c>
      <c r="R15">
        <v>5.0735999999999999</v>
      </c>
      <c r="S15">
        <v>0.7248</v>
      </c>
      <c r="T15">
        <v>133.67039999999997</v>
      </c>
      <c r="U15">
        <v>187.08927599999998</v>
      </c>
      <c r="V15" s="3">
        <f t="shared" si="0"/>
        <v>4199.8448559999997</v>
      </c>
      <c r="W15" s="3">
        <f t="shared" si="1"/>
        <v>4199.8448559999997</v>
      </c>
      <c r="X15" s="3">
        <f t="shared" si="2"/>
        <v>0</v>
      </c>
    </row>
    <row r="16" spans="1:24" x14ac:dyDescent="0.15">
      <c r="A16" s="1" t="s">
        <v>14</v>
      </c>
      <c r="B16">
        <v>12097.896827999999</v>
      </c>
      <c r="C16">
        <v>2975.814398</v>
      </c>
      <c r="D16">
        <v>169.74</v>
      </c>
      <c r="E16">
        <v>15584.1714664664</v>
      </c>
      <c r="F16">
        <v>0</v>
      </c>
      <c r="G16">
        <v>-86.96601635279886</v>
      </c>
      <c r="H16">
        <v>0</v>
      </c>
      <c r="J16">
        <v>3659.7032443635999</v>
      </c>
      <c r="L16">
        <v>11613.157155262001</v>
      </c>
      <c r="N16">
        <v>198.59520000000001</v>
      </c>
      <c r="O16">
        <v>6584.0524218012006</v>
      </c>
      <c r="P16">
        <v>44.212800000000001</v>
      </c>
      <c r="Q16">
        <v>52.113120000000002</v>
      </c>
      <c r="R16">
        <v>73.577279999999988</v>
      </c>
      <c r="S16">
        <v>57.2592</v>
      </c>
      <c r="T16">
        <v>447.34848000000022</v>
      </c>
      <c r="U16">
        <v>1719.5289786868</v>
      </c>
      <c r="V16" s="3">
        <f t="shared" si="0"/>
        <v>27595.102278113598</v>
      </c>
      <c r="W16" s="3">
        <f t="shared" si="1"/>
        <v>27595.102278113609</v>
      </c>
      <c r="X16" s="3">
        <f t="shared" si="2"/>
        <v>0</v>
      </c>
    </row>
    <row r="17" spans="1:24" x14ac:dyDescent="0.15">
      <c r="A17" s="1" t="s">
        <v>15</v>
      </c>
      <c r="B17">
        <v>15069.7405</v>
      </c>
      <c r="C17">
        <v>5068.7437239999999</v>
      </c>
      <c r="D17">
        <v>0</v>
      </c>
      <c r="E17">
        <v>7634.7834240000011</v>
      </c>
      <c r="F17">
        <v>0</v>
      </c>
      <c r="G17">
        <v>-349.98066799999941</v>
      </c>
      <c r="H17">
        <v>180.01252800000003</v>
      </c>
      <c r="J17">
        <v>2366.073132</v>
      </c>
      <c r="L17">
        <v>7420.9060679999993</v>
      </c>
      <c r="N17">
        <v>72.48</v>
      </c>
      <c r="O17">
        <v>5544.9198200000001</v>
      </c>
      <c r="P17">
        <v>0</v>
      </c>
      <c r="Q17">
        <v>14.496</v>
      </c>
      <c r="R17">
        <v>18.12</v>
      </c>
      <c r="S17">
        <v>0</v>
      </c>
      <c r="T17">
        <v>772.90921600000001</v>
      </c>
      <c r="U17">
        <v>895.88276800000006</v>
      </c>
      <c r="V17" s="3">
        <f t="shared" si="0"/>
        <v>22354.543256000001</v>
      </c>
      <c r="W17" s="3">
        <f t="shared" si="1"/>
        <v>22354.543256000001</v>
      </c>
      <c r="X17" s="3">
        <f t="shared" si="2"/>
        <v>0</v>
      </c>
    </row>
    <row r="18" spans="1:24" x14ac:dyDescent="0.15">
      <c r="A18" s="1" t="s">
        <v>16</v>
      </c>
      <c r="B18">
        <v>644.76737999999955</v>
      </c>
      <c r="C18">
        <v>0</v>
      </c>
      <c r="D18">
        <v>0</v>
      </c>
      <c r="E18">
        <v>7528.7471599999999</v>
      </c>
      <c r="F18">
        <v>0</v>
      </c>
      <c r="G18">
        <v>-2.5679999999999925E-2</v>
      </c>
      <c r="H18">
        <v>28.984248000000001</v>
      </c>
      <c r="J18">
        <v>1005.7157040000001</v>
      </c>
      <c r="L18">
        <v>2746.1797759999995</v>
      </c>
      <c r="N18">
        <v>64.275264000000007</v>
      </c>
      <c r="O18">
        <v>3282.3691199999998</v>
      </c>
      <c r="P18">
        <v>66.02928</v>
      </c>
      <c r="Q18">
        <v>100.3848</v>
      </c>
      <c r="R18">
        <v>105.72657600000001</v>
      </c>
      <c r="S18">
        <v>41.241120000000002</v>
      </c>
      <c r="T18">
        <v>393.77659199999988</v>
      </c>
      <c r="U18">
        <v>338.80637999999999</v>
      </c>
      <c r="V18" s="3">
        <f t="shared" si="0"/>
        <v>8173.4888599999995</v>
      </c>
      <c r="W18" s="3">
        <f t="shared" si="1"/>
        <v>8173.4888599999986</v>
      </c>
      <c r="X18" s="3">
        <f t="shared" si="2"/>
        <v>0</v>
      </c>
    </row>
    <row r="19" spans="1:24" x14ac:dyDescent="0.15">
      <c r="A19" s="1" t="s">
        <v>17</v>
      </c>
      <c r="B19">
        <v>5521.0164200000008</v>
      </c>
      <c r="C19">
        <v>1030.5731880000001</v>
      </c>
      <c r="D19">
        <v>0</v>
      </c>
      <c r="E19">
        <v>3247.5411199999999</v>
      </c>
      <c r="F19">
        <v>0</v>
      </c>
      <c r="G19">
        <v>-101.00675599999998</v>
      </c>
      <c r="H19">
        <v>19.579440000000002</v>
      </c>
      <c r="J19">
        <v>611.27698399999997</v>
      </c>
      <c r="L19">
        <v>2145.311788</v>
      </c>
      <c r="N19">
        <v>242.27889599999997</v>
      </c>
      <c r="O19">
        <v>3780.4570960000001</v>
      </c>
      <c r="P19">
        <v>15.805803999999998</v>
      </c>
      <c r="Q19">
        <v>7.2407520000000005</v>
      </c>
      <c r="R19">
        <v>234.189752</v>
      </c>
      <c r="S19">
        <v>8.6975999999999996</v>
      </c>
      <c r="T19">
        <v>346.19088000000011</v>
      </c>
      <c r="U19">
        <v>225.94860400000002</v>
      </c>
      <c r="V19" s="3">
        <f t="shared" si="0"/>
        <v>8667.5507840000009</v>
      </c>
      <c r="W19" s="3">
        <f t="shared" si="1"/>
        <v>8667.5507840000009</v>
      </c>
      <c r="X19" s="3">
        <f t="shared" si="2"/>
        <v>0</v>
      </c>
    </row>
    <row r="20" spans="1:24" x14ac:dyDescent="0.15">
      <c r="A20" s="1" t="s">
        <v>18</v>
      </c>
      <c r="B20">
        <v>431.62544799999893</v>
      </c>
      <c r="C20">
        <v>2.120260341164912E-3</v>
      </c>
      <c r="D20">
        <v>18.446159999999999</v>
      </c>
      <c r="E20">
        <v>8122.6824766459968</v>
      </c>
      <c r="F20">
        <v>1082.735232</v>
      </c>
      <c r="G20">
        <v>-9.3457200000000142</v>
      </c>
      <c r="H20">
        <v>10.596575999999999</v>
      </c>
      <c r="J20">
        <v>117.738</v>
      </c>
      <c r="L20">
        <v>6282.9430560000001</v>
      </c>
      <c r="N20">
        <v>40.132176000000001</v>
      </c>
      <c r="O20">
        <v>2599.8568519856549</v>
      </c>
      <c r="P20">
        <v>1.7467680000000001</v>
      </c>
      <c r="Q20">
        <v>1.2104159999999999</v>
      </c>
      <c r="R20">
        <v>20.236416000000002</v>
      </c>
      <c r="S20">
        <v>0</v>
      </c>
      <c r="T20">
        <v>56.593247999999832</v>
      </c>
      <c r="U20">
        <v>478.19520799999998</v>
      </c>
      <c r="V20" s="3">
        <f t="shared" si="0"/>
        <v>9627.6974366459945</v>
      </c>
      <c r="W20" s="3">
        <f t="shared" si="1"/>
        <v>9627.6969962459953</v>
      </c>
      <c r="X20" s="3">
        <f t="shared" si="2"/>
        <v>4.4039999920642003E-4</v>
      </c>
    </row>
    <row r="21" spans="1:24" x14ac:dyDescent="0.15">
      <c r="A21" s="1" t="s">
        <v>19</v>
      </c>
      <c r="B21">
        <v>707.21097999999972</v>
      </c>
      <c r="C21">
        <v>942.51143127999967</v>
      </c>
      <c r="D21">
        <v>0</v>
      </c>
      <c r="E21">
        <v>2976.4559120000004</v>
      </c>
      <c r="F21">
        <v>984.27840000000003</v>
      </c>
      <c r="G21">
        <v>-0.37636800000000004</v>
      </c>
      <c r="H21">
        <v>13.524768</v>
      </c>
      <c r="J21">
        <v>316.55700000000002</v>
      </c>
      <c r="L21">
        <v>1397.35640472</v>
      </c>
      <c r="N21">
        <v>23.447280000000003</v>
      </c>
      <c r="O21">
        <v>1688.2433599999999</v>
      </c>
      <c r="P21">
        <v>0</v>
      </c>
      <c r="Q21">
        <v>14.053872</v>
      </c>
      <c r="R21">
        <v>29.883503999999999</v>
      </c>
      <c r="S21">
        <v>16.590672000000001</v>
      </c>
      <c r="T21">
        <v>22.899360000000026</v>
      </c>
      <c r="U21">
        <v>202.501272</v>
      </c>
      <c r="V21" s="3">
        <f t="shared" si="0"/>
        <v>4667.5689240000002</v>
      </c>
      <c r="W21" s="3">
        <f t="shared" si="1"/>
        <v>4667.5689239999992</v>
      </c>
      <c r="X21" s="3">
        <f t="shared" si="2"/>
        <v>0</v>
      </c>
    </row>
    <row r="22" spans="1:24" x14ac:dyDescent="0.15">
      <c r="A22" s="1" t="s">
        <v>20</v>
      </c>
      <c r="B22">
        <v>0</v>
      </c>
      <c r="C22">
        <v>0.84</v>
      </c>
      <c r="D22">
        <v>0</v>
      </c>
      <c r="E22">
        <v>237.91598399999998</v>
      </c>
      <c r="F22">
        <v>63.818639999999995</v>
      </c>
      <c r="G22">
        <v>0</v>
      </c>
      <c r="H22">
        <v>0</v>
      </c>
      <c r="J22">
        <v>0</v>
      </c>
      <c r="L22">
        <v>245.750688</v>
      </c>
      <c r="N22">
        <v>0</v>
      </c>
      <c r="O22">
        <v>52.613232000000004</v>
      </c>
      <c r="P22">
        <v>0</v>
      </c>
      <c r="Q22">
        <v>0</v>
      </c>
      <c r="R22">
        <v>0.52800000000000002</v>
      </c>
      <c r="S22">
        <v>0</v>
      </c>
      <c r="T22">
        <v>0.93000000000000016</v>
      </c>
      <c r="U22">
        <v>1.0727039999999999</v>
      </c>
      <c r="V22" s="3">
        <f t="shared" si="0"/>
        <v>301.734624</v>
      </c>
      <c r="W22" s="3">
        <f t="shared" si="1"/>
        <v>301.734624</v>
      </c>
      <c r="X22" s="3">
        <f t="shared" si="2"/>
        <v>0</v>
      </c>
    </row>
    <row r="23" spans="1:24" x14ac:dyDescent="0.15">
      <c r="A23" s="1" t="s">
        <v>21</v>
      </c>
      <c r="B23">
        <v>3222.0223639999999</v>
      </c>
      <c r="C23">
        <v>970.68024000000003</v>
      </c>
      <c r="D23">
        <v>0</v>
      </c>
      <c r="E23">
        <v>798.03643199999988</v>
      </c>
      <c r="F23">
        <v>0</v>
      </c>
      <c r="G23">
        <v>-59.283231999999956</v>
      </c>
      <c r="H23">
        <v>0</v>
      </c>
      <c r="J23">
        <v>343.22788799999995</v>
      </c>
      <c r="L23">
        <v>1259.0010239999999</v>
      </c>
      <c r="N23">
        <v>175.10720000000001</v>
      </c>
      <c r="O23">
        <v>977.19642399999998</v>
      </c>
      <c r="P23">
        <v>13.459536</v>
      </c>
      <c r="Q23">
        <v>15.894864</v>
      </c>
      <c r="R23">
        <v>0.86251199999999995</v>
      </c>
      <c r="S23">
        <v>0.76104000000000005</v>
      </c>
      <c r="T23">
        <v>108.71999999999983</v>
      </c>
      <c r="U23">
        <v>95.864835999999997</v>
      </c>
      <c r="V23" s="3">
        <f t="shared" si="0"/>
        <v>3960.775564</v>
      </c>
      <c r="W23" s="3">
        <f t="shared" si="1"/>
        <v>3960.7755639999996</v>
      </c>
      <c r="X23" s="3">
        <f t="shared" si="2"/>
        <v>0</v>
      </c>
    </row>
    <row r="24" spans="1:24" x14ac:dyDescent="0.15">
      <c r="A24" s="1" t="s">
        <v>22</v>
      </c>
      <c r="B24">
        <v>6927.4499519999999</v>
      </c>
      <c r="C24">
        <v>562.76937599999997</v>
      </c>
      <c r="D24">
        <v>5.0850000000000009</v>
      </c>
      <c r="E24">
        <v>538.14225600000032</v>
      </c>
      <c r="F24">
        <v>0</v>
      </c>
      <c r="G24">
        <v>-563.61478799999986</v>
      </c>
      <c r="H24">
        <v>0</v>
      </c>
      <c r="J24">
        <v>1139.8410000000001</v>
      </c>
      <c r="L24">
        <v>2471.4822720000002</v>
      </c>
      <c r="N24">
        <v>22.048416</v>
      </c>
      <c r="O24">
        <v>2056.5085079999999</v>
      </c>
      <c r="P24">
        <v>11.734512</v>
      </c>
      <c r="Q24">
        <v>9.2097360000000013</v>
      </c>
      <c r="R24">
        <v>35.829624000000003</v>
      </c>
      <c r="S24">
        <v>10.257743999999999</v>
      </c>
      <c r="T24">
        <v>495.99199600000026</v>
      </c>
      <c r="U24">
        <v>81.219236000000009</v>
      </c>
      <c r="V24" s="3">
        <f t="shared" si="0"/>
        <v>6901.9774200000002</v>
      </c>
      <c r="W24" s="3">
        <f t="shared" si="1"/>
        <v>6901.9774200000002</v>
      </c>
      <c r="X24" s="3">
        <f t="shared" si="2"/>
        <v>0</v>
      </c>
    </row>
    <row r="25" spans="1:24" x14ac:dyDescent="0.15">
      <c r="A25" s="1" t="s">
        <v>23</v>
      </c>
      <c r="B25">
        <v>8306.837739999999</v>
      </c>
      <c r="C25">
        <v>1873.7484399999998</v>
      </c>
      <c r="D25">
        <v>4.2908159999999995</v>
      </c>
      <c r="E25">
        <v>1599.3146880000006</v>
      </c>
      <c r="F25">
        <v>0</v>
      </c>
      <c r="G25">
        <v>-535.36094000000014</v>
      </c>
      <c r="H25">
        <v>0</v>
      </c>
      <c r="J25">
        <v>1010.2672320000001</v>
      </c>
      <c r="L25">
        <v>3303.2811919999999</v>
      </c>
      <c r="N25">
        <v>173.952</v>
      </c>
      <c r="O25">
        <v>1774.7674239999999</v>
      </c>
      <c r="P25">
        <v>4.7836799999999995</v>
      </c>
      <c r="Q25">
        <v>6.4144800000000002</v>
      </c>
      <c r="R25">
        <v>114.9936</v>
      </c>
      <c r="S25">
        <v>158.36640000000003</v>
      </c>
      <c r="T25">
        <v>705.84619199999997</v>
      </c>
      <c r="U25">
        <v>240.08003199999999</v>
      </c>
      <c r="V25" s="3">
        <f t="shared" si="0"/>
        <v>9370.7914879999989</v>
      </c>
      <c r="W25" s="3">
        <f t="shared" si="1"/>
        <v>9370.7914879999989</v>
      </c>
      <c r="X25" s="3">
        <f t="shared" si="2"/>
        <v>0</v>
      </c>
    </row>
    <row r="26" spans="1:24" x14ac:dyDescent="0.15">
      <c r="A26" s="1" t="s">
        <v>24</v>
      </c>
      <c r="B26">
        <v>5889.6407479999998</v>
      </c>
      <c r="C26">
        <v>768.71245124692632</v>
      </c>
      <c r="D26">
        <v>0</v>
      </c>
      <c r="E26">
        <v>950.16317709133659</v>
      </c>
      <c r="F26">
        <v>0</v>
      </c>
      <c r="G26">
        <v>-111.30975424899832</v>
      </c>
      <c r="H26">
        <v>101.80184231999999</v>
      </c>
      <c r="J26">
        <v>1282.6962249600001</v>
      </c>
      <c r="L26">
        <v>2369.6540910515432</v>
      </c>
      <c r="N26">
        <v>149.05091616000001</v>
      </c>
      <c r="O26">
        <v>1373.1895291038677</v>
      </c>
      <c r="P26">
        <v>18.987856799999999</v>
      </c>
      <c r="Q26">
        <v>18.088833600000001</v>
      </c>
      <c r="R26">
        <v>12.191136</v>
      </c>
      <c r="S26">
        <v>11.901216000000002</v>
      </c>
      <c r="T26">
        <v>220.47506559999999</v>
      </c>
      <c r="U26">
        <v>401.74500799999998</v>
      </c>
      <c r="V26" s="3">
        <f t="shared" si="0"/>
        <v>6728.4941708423376</v>
      </c>
      <c r="W26" s="3">
        <f t="shared" si="1"/>
        <v>6728.4941708423376</v>
      </c>
      <c r="X26" s="3">
        <f t="shared" si="2"/>
        <v>0</v>
      </c>
    </row>
    <row r="27" spans="1:24" x14ac:dyDescent="0.15">
      <c r="A27" s="1" t="s">
        <v>25</v>
      </c>
      <c r="B27">
        <v>14167.843976</v>
      </c>
      <c r="C27">
        <v>7582.0720080000001</v>
      </c>
      <c r="D27">
        <v>0.15220799999999998</v>
      </c>
      <c r="E27">
        <v>72.732000000000056</v>
      </c>
      <c r="F27">
        <v>0</v>
      </c>
      <c r="G27">
        <v>-82.548835999999966</v>
      </c>
      <c r="H27">
        <v>11.07</v>
      </c>
      <c r="J27">
        <v>1486.1667359999999</v>
      </c>
      <c r="L27">
        <v>2552.5462759999996</v>
      </c>
      <c r="N27">
        <v>15.670176000000001</v>
      </c>
      <c r="O27">
        <v>1471.897336</v>
      </c>
      <c r="P27">
        <v>8.6975999999999996</v>
      </c>
      <c r="Q27">
        <v>18.727871999999998</v>
      </c>
      <c r="R27">
        <v>143.5104</v>
      </c>
      <c r="S27">
        <v>0</v>
      </c>
      <c r="T27">
        <v>60.790176000000166</v>
      </c>
      <c r="U27">
        <v>806.72635199999991</v>
      </c>
      <c r="V27" s="3">
        <f t="shared" si="0"/>
        <v>14158.02714</v>
      </c>
      <c r="W27" s="3">
        <f t="shared" si="1"/>
        <v>14158.027140000002</v>
      </c>
      <c r="X27" s="3">
        <f t="shared" si="2"/>
        <v>0</v>
      </c>
    </row>
    <row r="28" spans="1:24" x14ac:dyDescent="0.15">
      <c r="A28" s="1" t="s">
        <v>26</v>
      </c>
      <c r="B28">
        <v>3224.2385520000007</v>
      </c>
      <c r="C28">
        <v>681.31200000000001</v>
      </c>
      <c r="D28">
        <v>0</v>
      </c>
      <c r="E28">
        <v>1074.5447439999998</v>
      </c>
      <c r="F28">
        <v>0</v>
      </c>
      <c r="G28">
        <v>5.793143999999991</v>
      </c>
      <c r="H28">
        <v>5.8421520000000005</v>
      </c>
      <c r="J28">
        <v>464.93575199999998</v>
      </c>
      <c r="L28">
        <v>1709.4770400000002</v>
      </c>
      <c r="N28">
        <v>27.39744</v>
      </c>
      <c r="O28">
        <v>687.40223200000003</v>
      </c>
      <c r="P28">
        <v>18.12</v>
      </c>
      <c r="Q28">
        <v>39.566832000000005</v>
      </c>
      <c r="R28">
        <v>16.670400000000001</v>
      </c>
      <c r="S28">
        <v>11.234400000000001</v>
      </c>
      <c r="T28">
        <v>288.75360000000006</v>
      </c>
      <c r="U28">
        <v>353.86459200000002</v>
      </c>
      <c r="V28" s="3">
        <f t="shared" si="0"/>
        <v>4304.5764400000007</v>
      </c>
      <c r="W28" s="3">
        <f t="shared" si="1"/>
        <v>4304.5764399999998</v>
      </c>
      <c r="X28" s="3">
        <f t="shared" si="2"/>
        <v>0</v>
      </c>
    </row>
    <row r="29" spans="1:24" x14ac:dyDescent="0.15">
      <c r="A29" s="1" t="s">
        <v>27</v>
      </c>
      <c r="B29">
        <v>707.44632207999985</v>
      </c>
      <c r="C29">
        <v>148.35319919999984</v>
      </c>
      <c r="D29">
        <v>0</v>
      </c>
      <c r="E29">
        <v>303.50881800000002</v>
      </c>
      <c r="F29">
        <v>0</v>
      </c>
      <c r="G29">
        <v>-0.60955200000000165</v>
      </c>
      <c r="H29">
        <v>0</v>
      </c>
      <c r="J29">
        <v>97.965460320000005</v>
      </c>
      <c r="L29">
        <v>350.13632548000004</v>
      </c>
      <c r="N29">
        <v>3.0006719999999998</v>
      </c>
      <c r="O29">
        <v>246.36522496000001</v>
      </c>
      <c r="P29">
        <v>1.8883799999999999</v>
      </c>
      <c r="Q29">
        <v>8.1612570000000009</v>
      </c>
      <c r="R29">
        <v>1.96224</v>
      </c>
      <c r="S29">
        <v>6.2115885200000003</v>
      </c>
      <c r="T29">
        <v>59.801107520000002</v>
      </c>
      <c r="U29">
        <v>86.500185600000009</v>
      </c>
      <c r="V29" s="3">
        <f t="shared" si="0"/>
        <v>1010.3455880799999</v>
      </c>
      <c r="W29" s="3">
        <f t="shared" si="1"/>
        <v>1010.3456405999997</v>
      </c>
      <c r="X29" s="3">
        <f t="shared" si="2"/>
        <v>-5.2519999826472485E-5</v>
      </c>
    </row>
    <row r="30" spans="1:24" x14ac:dyDescent="0.15">
      <c r="A30" s="1" t="s">
        <v>28</v>
      </c>
      <c r="B30">
        <v>3211.3621160000002</v>
      </c>
      <c r="C30">
        <v>984.84816000000012</v>
      </c>
      <c r="D30">
        <v>16.326000000000001</v>
      </c>
      <c r="E30">
        <v>999.63105600000006</v>
      </c>
      <c r="F30">
        <v>0</v>
      </c>
      <c r="G30">
        <v>-69.119000000000028</v>
      </c>
      <c r="H30">
        <v>0</v>
      </c>
      <c r="J30">
        <v>310.19264399999997</v>
      </c>
      <c r="L30">
        <v>1705.306184</v>
      </c>
      <c r="N30">
        <v>3.2616000000000001</v>
      </c>
      <c r="O30">
        <v>644.35908000000006</v>
      </c>
      <c r="P30">
        <v>4.7111999999999998</v>
      </c>
      <c r="Q30">
        <v>9.6760799999999989</v>
      </c>
      <c r="R30">
        <v>2.8992</v>
      </c>
      <c r="S30">
        <v>2.8992</v>
      </c>
      <c r="T30">
        <v>69.885215999999986</v>
      </c>
      <c r="U30">
        <v>387.50960800000001</v>
      </c>
      <c r="V30" s="3">
        <f t="shared" si="0"/>
        <v>4141.8741719999998</v>
      </c>
      <c r="W30" s="3">
        <f t="shared" si="1"/>
        <v>4141.8741720000007</v>
      </c>
      <c r="X30" s="3">
        <f t="shared" si="2"/>
        <v>0</v>
      </c>
    </row>
    <row r="31" spans="1:24" x14ac:dyDescent="0.15">
      <c r="A31" s="1" t="s">
        <v>29</v>
      </c>
      <c r="B31">
        <v>3940.0724720000003</v>
      </c>
      <c r="C31">
        <v>176.01767999999998</v>
      </c>
      <c r="D31">
        <v>2.1743999999999999E-2</v>
      </c>
      <c r="E31">
        <v>145.69007999999997</v>
      </c>
      <c r="F31">
        <v>1.8337439999999998</v>
      </c>
      <c r="G31">
        <v>13.662460000000042</v>
      </c>
      <c r="H31">
        <v>0</v>
      </c>
      <c r="J31">
        <v>493.45773600000007</v>
      </c>
      <c r="L31">
        <v>1796.9085719999998</v>
      </c>
      <c r="N31">
        <v>73.603439999999992</v>
      </c>
      <c r="O31">
        <v>980.09992399999999</v>
      </c>
      <c r="P31">
        <v>12.394080000000001</v>
      </c>
      <c r="Q31">
        <v>39.863999999999997</v>
      </c>
      <c r="R31">
        <v>26.817599999999999</v>
      </c>
      <c r="S31">
        <v>28.992000000000001</v>
      </c>
      <c r="T31">
        <v>154.38240000000008</v>
      </c>
      <c r="U31">
        <v>318.69958000000003</v>
      </c>
      <c r="V31" s="3">
        <f t="shared" si="0"/>
        <v>4101.2587560000002</v>
      </c>
      <c r="W31" s="3">
        <f t="shared" si="1"/>
        <v>4101.2587559999993</v>
      </c>
      <c r="X31" s="3">
        <f t="shared" si="2"/>
        <v>0</v>
      </c>
    </row>
    <row r="32" spans="1:24" x14ac:dyDescent="0.15">
      <c r="O32">
        <f>SUM(O2:O31)</f>
        <v>62516.478634211693</v>
      </c>
      <c r="V32" s="3">
        <f>SUM(V2:V31)</f>
        <v>332950.800758556</v>
      </c>
    </row>
    <row r="33" spans="1:1" x14ac:dyDescent="0.15">
      <c r="A33" s="1" t="s">
        <v>49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3"/>
  <sheetViews>
    <sheetView zoomScale="70" zoomScaleNormal="70" workbookViewId="0">
      <selection activeCell="O33" sqref="O33"/>
    </sheetView>
  </sheetViews>
  <sheetFormatPr defaultRowHeight="13.5" x14ac:dyDescent="0.15"/>
  <sheetData>
    <row r="1" spans="1:24" x14ac:dyDescent="0.15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s="19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 x14ac:dyDescent="0.15">
      <c r="A2" s="1" t="s">
        <v>0</v>
      </c>
      <c r="B2" s="3">
        <v>1.0457230000000015</v>
      </c>
      <c r="C2">
        <v>61.234795999999996</v>
      </c>
      <c r="D2">
        <v>0</v>
      </c>
      <c r="E2">
        <v>67.615096000000037</v>
      </c>
      <c r="F2">
        <v>0</v>
      </c>
      <c r="G2">
        <v>0</v>
      </c>
      <c r="H2">
        <v>291.56887999999998</v>
      </c>
      <c r="J2">
        <v>-266.45009699999997</v>
      </c>
      <c r="L2">
        <v>94.488895999999997</v>
      </c>
      <c r="N2">
        <v>0.10285799999999999</v>
      </c>
      <c r="O2">
        <v>369.84668999999997</v>
      </c>
      <c r="P2">
        <v>1.114295</v>
      </c>
      <c r="Q2">
        <v>1.0971519999999999</v>
      </c>
      <c r="R2">
        <v>47.331823</v>
      </c>
      <c r="S2">
        <v>3.5143149999999994</v>
      </c>
      <c r="T2">
        <v>47.26325099999999</v>
      </c>
      <c r="U2">
        <v>0.68572</v>
      </c>
      <c r="V2" s="3">
        <f>B2+H2+E2+F2</f>
        <v>360.22969900000004</v>
      </c>
      <c r="W2" s="3">
        <f>C2+D2+G2+SUM(I2:U2)</f>
        <v>360.22969899999998</v>
      </c>
      <c r="X2" s="3">
        <f>V2-W2</f>
        <v>0</v>
      </c>
    </row>
    <row r="3" spans="1:24" x14ac:dyDescent="0.15">
      <c r="A3" s="1" t="s">
        <v>1</v>
      </c>
      <c r="B3">
        <v>79.099357000000012</v>
      </c>
      <c r="C3">
        <v>55.830037000000004</v>
      </c>
      <c r="D3">
        <v>0</v>
      </c>
      <c r="E3">
        <v>2.2628759999999928</v>
      </c>
      <c r="F3">
        <v>0.92572200000000004</v>
      </c>
      <c r="G3">
        <v>0</v>
      </c>
      <c r="H3">
        <v>0</v>
      </c>
      <c r="J3">
        <v>-136.42618300000001</v>
      </c>
      <c r="L3">
        <v>26.280559999999998</v>
      </c>
      <c r="N3">
        <v>0</v>
      </c>
      <c r="O3">
        <v>109.92469499999999</v>
      </c>
      <c r="P3">
        <v>0.27428799999999998</v>
      </c>
      <c r="Q3">
        <v>0</v>
      </c>
      <c r="R3">
        <v>5.640047</v>
      </c>
      <c r="S3">
        <v>3.0000249999999999</v>
      </c>
      <c r="T3">
        <v>17.353054</v>
      </c>
      <c r="U3">
        <v>0.41143199999999996</v>
      </c>
      <c r="V3" s="3">
        <f t="shared" ref="V3:V31" si="0">B3+H3+E3+F3</f>
        <v>82.287954999999997</v>
      </c>
      <c r="W3" s="3">
        <f t="shared" ref="W3:W31" si="1">C3+D3+G3+SUM(I3:U3)</f>
        <v>82.287954999999982</v>
      </c>
      <c r="X3" s="3">
        <f t="shared" ref="X3:X31" si="2">V3-W3</f>
        <v>0</v>
      </c>
    </row>
    <row r="4" spans="1:24" x14ac:dyDescent="0.15">
      <c r="A4" s="1" t="s">
        <v>2</v>
      </c>
      <c r="B4">
        <v>1011.65035</v>
      </c>
      <c r="C4">
        <v>79.287642470600076</v>
      </c>
      <c r="D4">
        <v>0</v>
      </c>
      <c r="E4">
        <v>39.990929999999999</v>
      </c>
      <c r="F4">
        <v>1.7142999999999999E-2</v>
      </c>
      <c r="G4">
        <v>0</v>
      </c>
      <c r="H4">
        <v>19.26773</v>
      </c>
      <c r="J4">
        <v>-681.556468</v>
      </c>
      <c r="L4">
        <v>465.33159999999992</v>
      </c>
      <c r="N4">
        <v>0.27428799999999998</v>
      </c>
      <c r="O4">
        <v>1048.1386107394001</v>
      </c>
      <c r="P4">
        <v>0.13714399999999999</v>
      </c>
      <c r="Q4">
        <v>7.2686319999999999E-2</v>
      </c>
      <c r="R4">
        <v>1.6892740799999999</v>
      </c>
      <c r="S4">
        <v>9.82026939</v>
      </c>
      <c r="T4">
        <v>147.679677</v>
      </c>
      <c r="U4">
        <v>5.1428999999999996E-2</v>
      </c>
      <c r="V4" s="3">
        <f t="shared" si="0"/>
        <v>1070.9261529999999</v>
      </c>
      <c r="W4" s="3">
        <f t="shared" si="1"/>
        <v>1070.9261530000001</v>
      </c>
      <c r="X4" s="3">
        <f t="shared" si="2"/>
        <v>0</v>
      </c>
    </row>
    <row r="5" spans="1:24" x14ac:dyDescent="0.15">
      <c r="A5" s="1" t="s">
        <v>3</v>
      </c>
      <c r="B5">
        <v>345.12</v>
      </c>
      <c r="C5">
        <v>0</v>
      </c>
      <c r="D5">
        <v>0</v>
      </c>
      <c r="E5">
        <v>11.605810999999999</v>
      </c>
      <c r="F5">
        <v>0</v>
      </c>
      <c r="G5">
        <v>0</v>
      </c>
      <c r="H5">
        <v>31.80856</v>
      </c>
      <c r="J5">
        <v>-1091.9796799999999</v>
      </c>
      <c r="L5">
        <v>365.77357999999998</v>
      </c>
      <c r="N5">
        <v>0</v>
      </c>
      <c r="O5">
        <v>1009.100835</v>
      </c>
      <c r="P5">
        <v>0.10285799999999999</v>
      </c>
      <c r="Q5">
        <v>0</v>
      </c>
      <c r="R5">
        <v>23.943404999999998</v>
      </c>
      <c r="S5">
        <v>0.10285799999999999</v>
      </c>
      <c r="T5">
        <v>81.490515000000087</v>
      </c>
      <c r="U5">
        <v>0</v>
      </c>
      <c r="V5" s="3">
        <f t="shared" si="0"/>
        <v>388.53437100000002</v>
      </c>
      <c r="W5" s="3">
        <f t="shared" si="1"/>
        <v>388.53437100000019</v>
      </c>
      <c r="X5" s="3">
        <f t="shared" si="2"/>
        <v>0</v>
      </c>
    </row>
    <row r="6" spans="1:24" x14ac:dyDescent="0.15">
      <c r="A6" s="1" t="s">
        <v>4</v>
      </c>
      <c r="B6">
        <v>492.36715634399997</v>
      </c>
      <c r="C6">
        <v>7.4177761000029929E-3</v>
      </c>
      <c r="D6">
        <v>0</v>
      </c>
      <c r="E6">
        <v>10.966205253000046</v>
      </c>
      <c r="F6">
        <v>0</v>
      </c>
      <c r="G6">
        <v>0</v>
      </c>
      <c r="H6">
        <v>0</v>
      </c>
      <c r="J6">
        <v>-143.661800795</v>
      </c>
      <c r="L6">
        <v>178.96485557899999</v>
      </c>
      <c r="N6">
        <v>0</v>
      </c>
      <c r="O6">
        <v>440.49080302689998</v>
      </c>
      <c r="P6">
        <v>0</v>
      </c>
      <c r="Q6">
        <v>0</v>
      </c>
      <c r="R6">
        <v>0</v>
      </c>
      <c r="S6">
        <v>0</v>
      </c>
      <c r="T6">
        <v>27.532086009999983</v>
      </c>
      <c r="U6">
        <v>0</v>
      </c>
      <c r="V6" s="3">
        <f t="shared" si="0"/>
        <v>503.33336159700002</v>
      </c>
      <c r="W6" s="3">
        <f t="shared" si="1"/>
        <v>503.33336159699996</v>
      </c>
      <c r="X6" s="3">
        <f t="shared" si="2"/>
        <v>0</v>
      </c>
    </row>
    <row r="7" spans="1:24" x14ac:dyDescent="0.15">
      <c r="A7" s="2" t="s">
        <v>5</v>
      </c>
      <c r="B7">
        <v>764.66805500000009</v>
      </c>
      <c r="C7">
        <v>178.64720299999999</v>
      </c>
      <c r="D7">
        <v>5.1428999999999996E-2</v>
      </c>
      <c r="E7">
        <v>23.794484000000001</v>
      </c>
      <c r="F7">
        <v>6.8571999999999994E-2</v>
      </c>
      <c r="G7">
        <v>0</v>
      </c>
      <c r="H7">
        <v>988.4182780000001</v>
      </c>
      <c r="J7">
        <v>-978.15022199999999</v>
      </c>
      <c r="L7">
        <v>467.84237099999996</v>
      </c>
      <c r="N7">
        <v>0</v>
      </c>
      <c r="O7">
        <v>1883.7308379999999</v>
      </c>
      <c r="P7">
        <v>6.9257719999999994</v>
      </c>
      <c r="Q7">
        <v>0.27428799999999998</v>
      </c>
      <c r="R7">
        <v>47.725477999999995</v>
      </c>
      <c r="S7">
        <v>11.254902999999999</v>
      </c>
      <c r="T7">
        <v>158.27018299999995</v>
      </c>
      <c r="U7">
        <v>0.37714599999999998</v>
      </c>
      <c r="V7" s="3">
        <f t="shared" si="0"/>
        <v>1776.9493890000001</v>
      </c>
      <c r="W7" s="3">
        <f t="shared" si="1"/>
        <v>1776.9493890000001</v>
      </c>
      <c r="X7" s="3">
        <f t="shared" si="2"/>
        <v>0</v>
      </c>
    </row>
    <row r="8" spans="1:24" x14ac:dyDescent="0.15">
      <c r="A8" s="1" t="s">
        <v>6</v>
      </c>
      <c r="B8">
        <v>151.280866</v>
      </c>
      <c r="C8">
        <v>0</v>
      </c>
      <c r="D8">
        <v>0</v>
      </c>
      <c r="E8">
        <v>57.616352999999997</v>
      </c>
      <c r="F8">
        <v>0</v>
      </c>
      <c r="G8">
        <v>0</v>
      </c>
      <c r="H8">
        <v>22.320810000000002</v>
      </c>
      <c r="J8">
        <v>-135.24782299999998</v>
      </c>
      <c r="L8">
        <v>34.902479999999997</v>
      </c>
      <c r="N8">
        <v>0</v>
      </c>
      <c r="O8">
        <v>233.20717599999998</v>
      </c>
      <c r="P8">
        <v>0</v>
      </c>
      <c r="Q8">
        <v>0</v>
      </c>
      <c r="R8">
        <v>1.075726</v>
      </c>
      <c r="S8">
        <v>0</v>
      </c>
      <c r="T8">
        <v>97.143325999999988</v>
      </c>
      <c r="U8">
        <v>0.13714399999999999</v>
      </c>
      <c r="V8" s="3">
        <f t="shared" si="0"/>
        <v>231.218029</v>
      </c>
      <c r="W8" s="3">
        <f t="shared" si="1"/>
        <v>231.21802899999997</v>
      </c>
      <c r="X8" s="3">
        <f t="shared" si="2"/>
        <v>0</v>
      </c>
    </row>
    <row r="9" spans="1:24" x14ac:dyDescent="0.15">
      <c r="A9" s="1" t="s">
        <v>7</v>
      </c>
      <c r="B9">
        <v>3.4285999999999997E-2</v>
      </c>
      <c r="C9">
        <v>35.006005999999999</v>
      </c>
      <c r="D9">
        <v>0</v>
      </c>
      <c r="E9">
        <v>0</v>
      </c>
      <c r="F9">
        <v>0</v>
      </c>
      <c r="G9">
        <v>0</v>
      </c>
      <c r="H9">
        <v>114.46725000000001</v>
      </c>
      <c r="J9">
        <v>-360.11366099999998</v>
      </c>
      <c r="L9">
        <v>59.145119999999999</v>
      </c>
      <c r="N9">
        <v>0</v>
      </c>
      <c r="O9">
        <v>221.531318</v>
      </c>
      <c r="P9">
        <v>0</v>
      </c>
      <c r="Q9">
        <v>0</v>
      </c>
      <c r="R9">
        <v>0</v>
      </c>
      <c r="S9">
        <v>0</v>
      </c>
      <c r="T9">
        <v>158.89846699999998</v>
      </c>
      <c r="U9">
        <v>3.4285999999999997E-2</v>
      </c>
      <c r="V9" s="3">
        <f t="shared" si="0"/>
        <v>114.501536</v>
      </c>
      <c r="W9" s="3">
        <f t="shared" si="1"/>
        <v>114.50153600000002</v>
      </c>
      <c r="X9" s="3">
        <f t="shared" si="2"/>
        <v>0</v>
      </c>
    </row>
    <row r="10" spans="1:24" x14ac:dyDescent="0.15">
      <c r="A10" s="1" t="s">
        <v>8</v>
      </c>
      <c r="B10">
        <v>300.714046</v>
      </c>
      <c r="C10">
        <v>9.2400769999999994</v>
      </c>
      <c r="D10">
        <v>0</v>
      </c>
      <c r="E10">
        <v>42.652680399999973</v>
      </c>
      <c r="F10">
        <v>29.897392</v>
      </c>
      <c r="G10">
        <v>0</v>
      </c>
      <c r="H10">
        <v>67.46446499999999</v>
      </c>
      <c r="J10">
        <v>-422.44093900000001</v>
      </c>
      <c r="L10">
        <v>290.93832100000003</v>
      </c>
      <c r="N10">
        <v>0</v>
      </c>
      <c r="O10">
        <v>411.03664303094672</v>
      </c>
      <c r="P10">
        <v>0.23447599999999999</v>
      </c>
      <c r="Q10">
        <v>11.767883999999999</v>
      </c>
      <c r="R10">
        <v>23.770726</v>
      </c>
      <c r="S10">
        <v>23.969358</v>
      </c>
      <c r="T10">
        <v>88.18224499999998</v>
      </c>
      <c r="U10">
        <v>4.0286049999999998</v>
      </c>
      <c r="V10" s="3">
        <f t="shared" si="0"/>
        <v>440.72858339999993</v>
      </c>
      <c r="W10" s="3">
        <f t="shared" si="1"/>
        <v>440.72739603094669</v>
      </c>
      <c r="X10" s="3">
        <f t="shared" si="2"/>
        <v>1.1873690532411274E-3</v>
      </c>
    </row>
    <row r="11" spans="1:24" x14ac:dyDescent="0.15">
      <c r="A11" s="1" t="s">
        <v>9</v>
      </c>
      <c r="B11">
        <v>638.3486089999999</v>
      </c>
      <c r="C11">
        <v>32.160268000000002</v>
      </c>
      <c r="D11">
        <v>0</v>
      </c>
      <c r="E11">
        <v>0.48000400000000004</v>
      </c>
      <c r="F11">
        <v>54.857599999999998</v>
      </c>
      <c r="G11">
        <v>0</v>
      </c>
      <c r="H11">
        <v>0.72677400000000025</v>
      </c>
      <c r="J11">
        <v>-454.71060399999999</v>
      </c>
      <c r="L11">
        <v>338.04686699999996</v>
      </c>
      <c r="N11">
        <v>0</v>
      </c>
      <c r="O11">
        <v>645.01903900000002</v>
      </c>
      <c r="P11">
        <v>0</v>
      </c>
      <c r="Q11">
        <v>0.30857399999999996</v>
      </c>
      <c r="R11">
        <v>12.071542000000001</v>
      </c>
      <c r="S11">
        <v>0</v>
      </c>
      <c r="T11">
        <v>120.96872499999992</v>
      </c>
      <c r="U11">
        <v>0.54857599999999995</v>
      </c>
      <c r="V11" s="3">
        <f t="shared" si="0"/>
        <v>694.41298699999993</v>
      </c>
      <c r="W11" s="3">
        <f t="shared" si="1"/>
        <v>694.41298699999993</v>
      </c>
      <c r="X11" s="3">
        <f t="shared" si="2"/>
        <v>0</v>
      </c>
    </row>
    <row r="12" spans="1:24" x14ac:dyDescent="0.15">
      <c r="A12" s="1" t="s">
        <v>10</v>
      </c>
      <c r="B12">
        <v>44.264349139999993</v>
      </c>
      <c r="C12">
        <v>0</v>
      </c>
      <c r="D12">
        <v>-0.65366258999999993</v>
      </c>
      <c r="E12">
        <v>138.35462440000003</v>
      </c>
      <c r="F12">
        <v>88.39976523</v>
      </c>
      <c r="G12">
        <v>0</v>
      </c>
      <c r="H12">
        <v>0</v>
      </c>
      <c r="J12">
        <v>-293.36072116999998</v>
      </c>
      <c r="L12">
        <v>13.042985079999999</v>
      </c>
      <c r="N12">
        <v>0</v>
      </c>
      <c r="O12">
        <v>189.45820208999996</v>
      </c>
      <c r="P12">
        <v>0</v>
      </c>
      <c r="Q12">
        <v>0</v>
      </c>
      <c r="R12">
        <v>42.857500000000002</v>
      </c>
      <c r="S12">
        <v>17.143000000000001</v>
      </c>
      <c r="T12">
        <v>300.0025</v>
      </c>
      <c r="U12">
        <v>2.5289353600000002</v>
      </c>
      <c r="V12" s="3">
        <f t="shared" si="0"/>
        <v>271.01873877000003</v>
      </c>
      <c r="W12" s="3">
        <f t="shared" si="1"/>
        <v>271.01873876999997</v>
      </c>
      <c r="X12" s="3">
        <f t="shared" si="2"/>
        <v>0</v>
      </c>
    </row>
    <row r="13" spans="1:24" x14ac:dyDescent="0.15">
      <c r="A13" s="1" t="s">
        <v>11</v>
      </c>
      <c r="B13">
        <v>122.27533799999999</v>
      </c>
      <c r="C13">
        <v>0.22791677820001138</v>
      </c>
      <c r="D13">
        <v>0</v>
      </c>
      <c r="E13">
        <v>8.6324630041839807</v>
      </c>
      <c r="F13">
        <v>0</v>
      </c>
      <c r="G13">
        <v>0</v>
      </c>
      <c r="H13">
        <v>12.973370000000001</v>
      </c>
      <c r="J13">
        <v>-215.46025099999997</v>
      </c>
      <c r="L13">
        <v>148.54982000000001</v>
      </c>
      <c r="N13">
        <v>0</v>
      </c>
      <c r="O13">
        <v>142.21159722598401</v>
      </c>
      <c r="P13">
        <v>0</v>
      </c>
      <c r="Q13">
        <v>0</v>
      </c>
      <c r="R13">
        <v>0</v>
      </c>
      <c r="S13">
        <v>0</v>
      </c>
      <c r="T13">
        <v>68.249229999999969</v>
      </c>
      <c r="U13">
        <v>0.10285799999999999</v>
      </c>
      <c r="V13" s="3">
        <f t="shared" si="0"/>
        <v>143.88117100418398</v>
      </c>
      <c r="W13" s="3">
        <f t="shared" si="1"/>
        <v>143.88117100418401</v>
      </c>
      <c r="X13" s="3">
        <f t="shared" si="2"/>
        <v>0</v>
      </c>
    </row>
    <row r="14" spans="1:24" x14ac:dyDescent="0.15">
      <c r="A14" s="1" t="s">
        <v>12</v>
      </c>
      <c r="B14">
        <v>176.37233299999997</v>
      </c>
      <c r="C14">
        <v>0</v>
      </c>
      <c r="D14">
        <v>0</v>
      </c>
      <c r="E14">
        <v>142.01261199999999</v>
      </c>
      <c r="F14">
        <v>0</v>
      </c>
      <c r="G14">
        <v>0</v>
      </c>
      <c r="H14">
        <v>0.20270999999999995</v>
      </c>
      <c r="J14">
        <v>-61.082439999999991</v>
      </c>
      <c r="L14">
        <v>45.652561999999996</v>
      </c>
      <c r="N14">
        <v>3.4285999999999997E-2</v>
      </c>
      <c r="O14">
        <v>180.261966</v>
      </c>
      <c r="P14">
        <v>0</v>
      </c>
      <c r="Q14">
        <v>1.7142999999999999E-2</v>
      </c>
      <c r="R14">
        <v>6.2743380000000002</v>
      </c>
      <c r="S14">
        <v>0</v>
      </c>
      <c r="T14">
        <v>147.17265499999999</v>
      </c>
      <c r="U14">
        <v>0.25714499999999996</v>
      </c>
      <c r="V14" s="3">
        <f t="shared" si="0"/>
        <v>318.58765499999993</v>
      </c>
      <c r="W14" s="3">
        <f t="shared" si="1"/>
        <v>318.58765499999998</v>
      </c>
      <c r="X14" s="3">
        <f t="shared" si="2"/>
        <v>0</v>
      </c>
    </row>
    <row r="15" spans="1:24" x14ac:dyDescent="0.15">
      <c r="A15" s="1" t="s">
        <v>13</v>
      </c>
      <c r="B15">
        <v>546.439435</v>
      </c>
      <c r="C15">
        <v>29.091670999999998</v>
      </c>
      <c r="D15">
        <v>0</v>
      </c>
      <c r="E15">
        <v>64.823511999999994</v>
      </c>
      <c r="F15">
        <v>0</v>
      </c>
      <c r="G15">
        <v>0</v>
      </c>
      <c r="H15">
        <v>16.255489999999998</v>
      </c>
      <c r="J15">
        <v>-143.19027499999999</v>
      </c>
      <c r="L15">
        <v>94.488461999999998</v>
      </c>
      <c r="N15">
        <v>0</v>
      </c>
      <c r="O15">
        <v>569.37165400000004</v>
      </c>
      <c r="P15">
        <v>0</v>
      </c>
      <c r="Q15">
        <v>3.4285999999999997E-2</v>
      </c>
      <c r="R15">
        <v>20.122454999999999</v>
      </c>
      <c r="S15">
        <v>0</v>
      </c>
      <c r="T15">
        <v>57.360182000000037</v>
      </c>
      <c r="U15">
        <v>0.24000200000000002</v>
      </c>
      <c r="V15" s="3">
        <f t="shared" si="0"/>
        <v>627.51843699999995</v>
      </c>
      <c r="W15" s="3">
        <f t="shared" si="1"/>
        <v>627.51843699999995</v>
      </c>
      <c r="X15" s="3">
        <f t="shared" si="2"/>
        <v>0</v>
      </c>
    </row>
    <row r="16" spans="1:24" x14ac:dyDescent="0.15">
      <c r="A16" s="1" t="s">
        <v>14</v>
      </c>
      <c r="B16">
        <v>106.279073</v>
      </c>
      <c r="C16">
        <v>2.876000000000194E-2</v>
      </c>
      <c r="D16">
        <v>0</v>
      </c>
      <c r="E16">
        <v>111.11848215020004</v>
      </c>
      <c r="F16">
        <v>0</v>
      </c>
      <c r="G16">
        <v>0</v>
      </c>
      <c r="H16">
        <v>0</v>
      </c>
      <c r="J16">
        <v>-634.35780537459993</v>
      </c>
      <c r="L16">
        <v>197.76303907799999</v>
      </c>
      <c r="N16">
        <v>0</v>
      </c>
      <c r="O16">
        <v>299.81950891999998</v>
      </c>
      <c r="P16">
        <v>0</v>
      </c>
      <c r="Q16">
        <v>13.45731</v>
      </c>
      <c r="R16">
        <v>38.972009999999997</v>
      </c>
      <c r="S16">
        <v>17.886009999999999</v>
      </c>
      <c r="T16">
        <v>278.48546200000004</v>
      </c>
      <c r="U16">
        <v>5.3432605268</v>
      </c>
      <c r="V16" s="3">
        <f t="shared" si="0"/>
        <v>217.39755515020005</v>
      </c>
      <c r="W16" s="3">
        <f t="shared" si="1"/>
        <v>217.39755515020013</v>
      </c>
      <c r="X16" s="3">
        <f t="shared" si="2"/>
        <v>0</v>
      </c>
    </row>
    <row r="17" spans="1:24" x14ac:dyDescent="0.15">
      <c r="A17" s="1" t="s">
        <v>15</v>
      </c>
      <c r="B17">
        <v>316.89143300000001</v>
      </c>
      <c r="C17">
        <v>31.437556999999998</v>
      </c>
      <c r="D17">
        <v>0</v>
      </c>
      <c r="E17">
        <v>20.059318999999967</v>
      </c>
      <c r="F17">
        <v>0</v>
      </c>
      <c r="G17">
        <v>0</v>
      </c>
      <c r="H17">
        <v>139.88864000000001</v>
      </c>
      <c r="J17">
        <v>-222.83967699999999</v>
      </c>
      <c r="L17">
        <v>105.934984</v>
      </c>
      <c r="N17">
        <v>0</v>
      </c>
      <c r="O17">
        <v>483.26358899999997</v>
      </c>
      <c r="P17">
        <v>0</v>
      </c>
      <c r="Q17">
        <v>0</v>
      </c>
      <c r="R17">
        <v>11.233184999999999</v>
      </c>
      <c r="S17">
        <v>0</v>
      </c>
      <c r="T17">
        <v>67.055461999999949</v>
      </c>
      <c r="U17">
        <v>0.75429199999999996</v>
      </c>
      <c r="V17" s="3">
        <f t="shared" si="0"/>
        <v>476.83939199999998</v>
      </c>
      <c r="W17" s="3">
        <f t="shared" si="1"/>
        <v>476.83939199999998</v>
      </c>
      <c r="X17" s="3">
        <f t="shared" si="2"/>
        <v>0</v>
      </c>
    </row>
    <row r="18" spans="1:24" x14ac:dyDescent="0.15">
      <c r="A18" s="1" t="s">
        <v>16</v>
      </c>
      <c r="B18">
        <v>33.936234999999996</v>
      </c>
      <c r="C18">
        <v>0</v>
      </c>
      <c r="D18">
        <v>0</v>
      </c>
      <c r="E18">
        <v>11.177235999999999</v>
      </c>
      <c r="F18">
        <v>0</v>
      </c>
      <c r="G18">
        <v>0</v>
      </c>
      <c r="H18">
        <v>0</v>
      </c>
      <c r="J18">
        <v>-354.53958399999999</v>
      </c>
      <c r="L18">
        <v>163.75081200000002</v>
      </c>
      <c r="N18">
        <v>0</v>
      </c>
      <c r="O18">
        <v>134.65568500000001</v>
      </c>
      <c r="P18">
        <v>0</v>
      </c>
      <c r="Q18">
        <v>0</v>
      </c>
      <c r="R18">
        <v>13.37154</v>
      </c>
      <c r="S18">
        <v>0</v>
      </c>
      <c r="T18">
        <v>87.806446000000008</v>
      </c>
      <c r="U18">
        <v>6.8571999999999994E-2</v>
      </c>
      <c r="V18" s="3">
        <f t="shared" si="0"/>
        <v>45.113470999999997</v>
      </c>
      <c r="W18" s="3">
        <f t="shared" si="1"/>
        <v>45.113471000000047</v>
      </c>
      <c r="X18" s="3">
        <f t="shared" si="2"/>
        <v>0</v>
      </c>
    </row>
    <row r="19" spans="1:24" x14ac:dyDescent="0.15">
      <c r="A19" s="1" t="s">
        <v>17</v>
      </c>
      <c r="B19">
        <v>0.48000399999999777</v>
      </c>
      <c r="C19">
        <v>16.610137999999996</v>
      </c>
      <c r="D19">
        <v>0</v>
      </c>
      <c r="E19">
        <v>46.80039</v>
      </c>
      <c r="F19">
        <v>0</v>
      </c>
      <c r="G19">
        <v>0</v>
      </c>
      <c r="H19">
        <v>237.75891999999999</v>
      </c>
      <c r="J19">
        <v>-235.812228</v>
      </c>
      <c r="L19">
        <v>79.104086000000009</v>
      </c>
      <c r="N19">
        <v>0</v>
      </c>
      <c r="O19">
        <v>309.36434300000002</v>
      </c>
      <c r="P19">
        <v>1.5085839999999999</v>
      </c>
      <c r="Q19">
        <v>3.4285999999999997E-2</v>
      </c>
      <c r="R19">
        <v>43.680473999999997</v>
      </c>
      <c r="S19">
        <v>0</v>
      </c>
      <c r="T19">
        <v>70.601059999999976</v>
      </c>
      <c r="U19">
        <v>-5.1428999999999996E-2</v>
      </c>
      <c r="V19" s="3">
        <f t="shared" si="0"/>
        <v>285.03931399999999</v>
      </c>
      <c r="W19" s="3">
        <f t="shared" si="1"/>
        <v>285.03931400000005</v>
      </c>
      <c r="X19" s="3">
        <f t="shared" si="2"/>
        <v>0</v>
      </c>
    </row>
    <row r="20" spans="1:24" x14ac:dyDescent="0.15">
      <c r="A20" s="1" t="s">
        <v>18</v>
      </c>
      <c r="B20">
        <v>279.7413820000001</v>
      </c>
      <c r="C20">
        <v>4.2857500000000002</v>
      </c>
      <c r="D20">
        <v>0</v>
      </c>
      <c r="E20">
        <v>344.57560800560344</v>
      </c>
      <c r="F20">
        <v>499.084159</v>
      </c>
      <c r="G20">
        <v>0</v>
      </c>
      <c r="H20">
        <v>41.989599999999996</v>
      </c>
      <c r="J20">
        <v>-353.72296699999998</v>
      </c>
      <c r="L20">
        <v>21.631209999999999</v>
      </c>
      <c r="N20">
        <v>0</v>
      </c>
      <c r="O20">
        <v>647.8783988859052</v>
      </c>
      <c r="P20">
        <v>1.0971519999999999</v>
      </c>
      <c r="Q20">
        <v>62.41766299999999</v>
      </c>
      <c r="R20">
        <v>48.030082999999998</v>
      </c>
      <c r="S20">
        <v>2.6743079999999999</v>
      </c>
      <c r="T20">
        <v>721.37953400000004</v>
      </c>
      <c r="U20">
        <v>9.7200809999999986</v>
      </c>
      <c r="V20" s="3">
        <f t="shared" si="0"/>
        <v>1165.3907490056035</v>
      </c>
      <c r="W20" s="3">
        <f t="shared" si="1"/>
        <v>1165.3912128859051</v>
      </c>
      <c r="X20" s="3">
        <f t="shared" si="2"/>
        <v>-4.6388030159505433E-4</v>
      </c>
    </row>
    <row r="21" spans="1:24" x14ac:dyDescent="0.15">
      <c r="A21" s="1" t="s">
        <v>19</v>
      </c>
      <c r="B21">
        <v>301.63552800000002</v>
      </c>
      <c r="C21">
        <v>0</v>
      </c>
      <c r="D21">
        <v>0</v>
      </c>
      <c r="E21">
        <v>147.77266</v>
      </c>
      <c r="F21">
        <v>0</v>
      </c>
      <c r="G21">
        <v>0</v>
      </c>
      <c r="H21">
        <v>19.930679999999999</v>
      </c>
      <c r="J21">
        <v>-83.164418999999995</v>
      </c>
      <c r="L21">
        <v>95.664633999999992</v>
      </c>
      <c r="N21">
        <v>8.3829269999999987</v>
      </c>
      <c r="O21">
        <v>285.723704</v>
      </c>
      <c r="P21">
        <v>0</v>
      </c>
      <c r="Q21">
        <v>0</v>
      </c>
      <c r="R21">
        <v>23.245908</v>
      </c>
      <c r="S21">
        <v>1.5257270000000001</v>
      </c>
      <c r="T21">
        <v>125.18885199999998</v>
      </c>
      <c r="U21">
        <v>12.771535</v>
      </c>
      <c r="V21" s="3">
        <f t="shared" si="0"/>
        <v>469.33886800000005</v>
      </c>
      <c r="W21" s="3">
        <f t="shared" si="1"/>
        <v>469.33886800000005</v>
      </c>
      <c r="X21" s="3">
        <f t="shared" si="2"/>
        <v>0</v>
      </c>
    </row>
    <row r="22" spans="1:24" x14ac:dyDescent="0.15">
      <c r="A22" s="1" t="s">
        <v>20</v>
      </c>
      <c r="B22">
        <v>0</v>
      </c>
      <c r="C22">
        <v>76.937784000000008</v>
      </c>
      <c r="D22">
        <v>0.58286199999999999</v>
      </c>
      <c r="E22">
        <v>6.0914609999999971</v>
      </c>
      <c r="F22">
        <v>0</v>
      </c>
      <c r="G22">
        <v>0</v>
      </c>
      <c r="H22">
        <v>0</v>
      </c>
      <c r="J22">
        <v>-125.587249</v>
      </c>
      <c r="L22">
        <v>3.0642299999999998</v>
      </c>
      <c r="N22">
        <v>0</v>
      </c>
      <c r="O22">
        <v>33.230827999999995</v>
      </c>
      <c r="P22">
        <v>0</v>
      </c>
      <c r="Q22">
        <v>0</v>
      </c>
      <c r="R22">
        <v>6.0000499999999999</v>
      </c>
      <c r="S22">
        <v>0</v>
      </c>
      <c r="T22">
        <v>11.142949999999999</v>
      </c>
      <c r="U22">
        <v>0.72000599999999992</v>
      </c>
      <c r="V22" s="3">
        <f t="shared" si="0"/>
        <v>6.0914609999999971</v>
      </c>
      <c r="W22" s="3">
        <f t="shared" si="1"/>
        <v>6.0914610000000096</v>
      </c>
      <c r="X22" s="3">
        <f t="shared" si="2"/>
        <v>-1.2434497875801753E-14</v>
      </c>
    </row>
    <row r="23" spans="1:24" x14ac:dyDescent="0.15">
      <c r="A23" s="1" t="s">
        <v>21</v>
      </c>
      <c r="B23">
        <v>26.976880000000001</v>
      </c>
      <c r="C23">
        <v>0</v>
      </c>
      <c r="D23">
        <v>0</v>
      </c>
      <c r="E23">
        <v>17.400144999999998</v>
      </c>
      <c r="F23">
        <v>0</v>
      </c>
      <c r="G23">
        <v>0</v>
      </c>
      <c r="H23">
        <v>0</v>
      </c>
      <c r="J23">
        <v>-9.39879</v>
      </c>
      <c r="L23">
        <v>5.5901300000000003</v>
      </c>
      <c r="N23">
        <v>1.8857300000000001</v>
      </c>
      <c r="O23">
        <v>31.059828</v>
      </c>
      <c r="P23">
        <v>0.90857900000000003</v>
      </c>
      <c r="Q23">
        <v>1.37144</v>
      </c>
      <c r="R23">
        <v>5.6571899999999991</v>
      </c>
      <c r="S23">
        <v>0</v>
      </c>
      <c r="T23">
        <v>7.3029180000000027</v>
      </c>
      <c r="U23">
        <v>0</v>
      </c>
      <c r="V23" s="3">
        <f t="shared" si="0"/>
        <v>44.377025000000003</v>
      </c>
      <c r="W23" s="3">
        <f t="shared" si="1"/>
        <v>44.377025000000003</v>
      </c>
      <c r="X23" s="3">
        <f t="shared" si="2"/>
        <v>0</v>
      </c>
    </row>
    <row r="24" spans="1:24" x14ac:dyDescent="0.15">
      <c r="A24" s="1" t="s">
        <v>22</v>
      </c>
      <c r="B24">
        <v>0</v>
      </c>
      <c r="C24">
        <v>1.5713999999999999E-2</v>
      </c>
      <c r="D24">
        <v>0</v>
      </c>
      <c r="E24">
        <v>76.18168</v>
      </c>
      <c r="F24">
        <v>0</v>
      </c>
      <c r="G24">
        <v>0</v>
      </c>
      <c r="H24">
        <v>0</v>
      </c>
      <c r="J24">
        <v>-13.097251999999999</v>
      </c>
      <c r="L24">
        <v>76.165965999999997</v>
      </c>
      <c r="N24">
        <v>0</v>
      </c>
      <c r="O24">
        <v>13.097251999999999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76.18168</v>
      </c>
      <c r="W24" s="3">
        <f t="shared" si="1"/>
        <v>76.18168</v>
      </c>
      <c r="X24" s="3">
        <f t="shared" si="2"/>
        <v>0</v>
      </c>
    </row>
    <row r="25" spans="1:24" x14ac:dyDescent="0.15">
      <c r="A25" s="1" t="s">
        <v>23</v>
      </c>
      <c r="B25">
        <v>45.028190000000002</v>
      </c>
      <c r="C25">
        <v>0</v>
      </c>
      <c r="D25">
        <v>0</v>
      </c>
      <c r="E25">
        <v>21.154461999999999</v>
      </c>
      <c r="F25">
        <v>0</v>
      </c>
      <c r="G25">
        <v>0</v>
      </c>
      <c r="H25">
        <v>0</v>
      </c>
      <c r="J25">
        <v>-21.623359999999998</v>
      </c>
      <c r="L25">
        <v>19.596170000000001</v>
      </c>
      <c r="N25">
        <v>0</v>
      </c>
      <c r="O25">
        <v>35.820832000000003</v>
      </c>
      <c r="P25">
        <v>0</v>
      </c>
      <c r="Q25">
        <v>2.6414899999999997</v>
      </c>
      <c r="R25">
        <v>10.071539999999999</v>
      </c>
      <c r="S25">
        <v>0.12000100000000001</v>
      </c>
      <c r="T25">
        <v>19.555979000000001</v>
      </c>
      <c r="U25">
        <v>0</v>
      </c>
      <c r="V25" s="3">
        <f t="shared" si="0"/>
        <v>66.182652000000004</v>
      </c>
      <c r="W25" s="3">
        <f t="shared" si="1"/>
        <v>66.182652000000004</v>
      </c>
      <c r="X25" s="3">
        <f t="shared" si="2"/>
        <v>0</v>
      </c>
    </row>
    <row r="26" spans="1:24" x14ac:dyDescent="0.15">
      <c r="A26" s="1" t="s">
        <v>24</v>
      </c>
      <c r="B26">
        <v>1.0644373999999992</v>
      </c>
      <c r="C26">
        <v>3.1427999999999998E-3</v>
      </c>
      <c r="D26">
        <v>0</v>
      </c>
      <c r="E26">
        <v>24.722560449100005</v>
      </c>
      <c r="F26">
        <v>0</v>
      </c>
      <c r="G26">
        <v>0</v>
      </c>
      <c r="H26">
        <v>339.41373593999998</v>
      </c>
      <c r="J26">
        <v>0</v>
      </c>
      <c r="L26">
        <v>73.263093834000003</v>
      </c>
      <c r="N26">
        <v>0</v>
      </c>
      <c r="O26">
        <v>252.16172948509998</v>
      </c>
      <c r="P26">
        <v>0</v>
      </c>
      <c r="Q26">
        <v>0</v>
      </c>
      <c r="R26">
        <v>6.7200559999999996</v>
      </c>
      <c r="S26">
        <v>0.394289</v>
      </c>
      <c r="T26">
        <v>31.494602999999998</v>
      </c>
      <c r="U26">
        <v>1.165724</v>
      </c>
      <c r="V26" s="3">
        <f t="shared" si="0"/>
        <v>365.20073378909996</v>
      </c>
      <c r="W26" s="3">
        <f t="shared" si="1"/>
        <v>365.20263811909996</v>
      </c>
      <c r="X26" s="3">
        <f t="shared" si="2"/>
        <v>-1.904330000002119E-3</v>
      </c>
    </row>
    <row r="27" spans="1:24" x14ac:dyDescent="0.15">
      <c r="A27" s="1" t="s">
        <v>25</v>
      </c>
      <c r="B27">
        <v>0</v>
      </c>
      <c r="C27">
        <v>0.29143099999999073</v>
      </c>
      <c r="D27">
        <v>0</v>
      </c>
      <c r="E27">
        <v>94.640829999999994</v>
      </c>
      <c r="F27">
        <v>0</v>
      </c>
      <c r="G27">
        <v>0</v>
      </c>
      <c r="H27">
        <v>-1.4852600000000002</v>
      </c>
      <c r="J27">
        <v>-151.88118900000001</v>
      </c>
      <c r="L27">
        <v>46.734881999999992</v>
      </c>
      <c r="N27">
        <v>4.8892000000000005E-2</v>
      </c>
      <c r="O27">
        <v>38.916103999999997</v>
      </c>
      <c r="P27">
        <v>0</v>
      </c>
      <c r="Q27">
        <v>0</v>
      </c>
      <c r="R27">
        <v>0.62932999999999995</v>
      </c>
      <c r="S27">
        <v>0</v>
      </c>
      <c r="T27">
        <v>91.558419999999998</v>
      </c>
      <c r="U27">
        <v>66.857699999999994</v>
      </c>
      <c r="V27" s="3">
        <f t="shared" si="0"/>
        <v>93.155569999999997</v>
      </c>
      <c r="W27" s="3">
        <f t="shared" si="1"/>
        <v>93.155569999999955</v>
      </c>
      <c r="X27" s="3">
        <f t="shared" si="2"/>
        <v>0</v>
      </c>
    </row>
    <row r="28" spans="1:24" x14ac:dyDescent="0.15">
      <c r="A28" s="1" t="s">
        <v>26</v>
      </c>
      <c r="B28">
        <v>9.5826060000000002</v>
      </c>
      <c r="C28">
        <v>43.406075999999999</v>
      </c>
      <c r="D28">
        <v>0</v>
      </c>
      <c r="E28">
        <v>0</v>
      </c>
      <c r="F28">
        <v>0</v>
      </c>
      <c r="G28">
        <v>0</v>
      </c>
      <c r="H28">
        <v>3.8538399999999999</v>
      </c>
      <c r="J28">
        <v>-239.98061399999997</v>
      </c>
      <c r="L28">
        <v>42.386108</v>
      </c>
      <c r="N28">
        <v>0</v>
      </c>
      <c r="O28">
        <v>154.888453</v>
      </c>
      <c r="P28">
        <v>0</v>
      </c>
      <c r="Q28">
        <v>1.285725</v>
      </c>
      <c r="R28">
        <v>3.4285999999999997E-2</v>
      </c>
      <c r="S28">
        <v>0</v>
      </c>
      <c r="T28">
        <v>11.159267000000002</v>
      </c>
      <c r="U28">
        <v>0.25714499999999996</v>
      </c>
      <c r="V28" s="3">
        <f t="shared" si="0"/>
        <v>13.436446</v>
      </c>
      <c r="W28" s="3">
        <f t="shared" si="1"/>
        <v>13.436446000000032</v>
      </c>
      <c r="X28" s="3">
        <f t="shared" si="2"/>
        <v>-3.1974423109204508E-14</v>
      </c>
    </row>
    <row r="29" spans="1:24" x14ac:dyDescent="0.15">
      <c r="A29" s="1" t="s">
        <v>27</v>
      </c>
      <c r="B29">
        <v>0</v>
      </c>
      <c r="C29">
        <v>6.6000550000000002</v>
      </c>
      <c r="D29">
        <v>0</v>
      </c>
      <c r="E29">
        <v>0</v>
      </c>
      <c r="F29">
        <v>0</v>
      </c>
      <c r="G29">
        <v>0</v>
      </c>
      <c r="H29">
        <v>0</v>
      </c>
      <c r="J29">
        <v>-23.125912870000001</v>
      </c>
      <c r="L29">
        <v>0</v>
      </c>
      <c r="N29">
        <v>0</v>
      </c>
      <c r="O29">
        <v>7.3528387600000009</v>
      </c>
      <c r="P29">
        <v>0</v>
      </c>
      <c r="Q29">
        <v>0</v>
      </c>
      <c r="R29">
        <v>0</v>
      </c>
      <c r="S29">
        <v>0</v>
      </c>
      <c r="T29">
        <v>9.1715311619999991</v>
      </c>
      <c r="U29">
        <v>0</v>
      </c>
      <c r="V29" s="3">
        <f t="shared" si="0"/>
        <v>0</v>
      </c>
      <c r="W29" s="3">
        <f t="shared" si="1"/>
        <v>-1.4879480000002943E-3</v>
      </c>
      <c r="X29" s="3">
        <f t="shared" si="2"/>
        <v>1.4879480000002943E-3</v>
      </c>
    </row>
    <row r="30" spans="1:24" x14ac:dyDescent="0.15">
      <c r="A30" s="1" t="s">
        <v>28</v>
      </c>
      <c r="B30">
        <v>0.25883999999999996</v>
      </c>
      <c r="C30">
        <v>9.4201350000000001</v>
      </c>
      <c r="D30">
        <v>0</v>
      </c>
      <c r="E30">
        <v>0</v>
      </c>
      <c r="F30">
        <v>0</v>
      </c>
      <c r="G30">
        <v>0</v>
      </c>
      <c r="H30">
        <v>0</v>
      </c>
      <c r="J30">
        <v>-35.824567000000002</v>
      </c>
      <c r="L30">
        <v>0</v>
      </c>
      <c r="N30">
        <v>0</v>
      </c>
      <c r="O30">
        <v>21.828946000000002</v>
      </c>
      <c r="P30">
        <v>0</v>
      </c>
      <c r="Q30">
        <v>0</v>
      </c>
      <c r="R30">
        <v>0</v>
      </c>
      <c r="S30">
        <v>0</v>
      </c>
      <c r="T30">
        <v>4.8343259999999999</v>
      </c>
      <c r="U30">
        <v>0</v>
      </c>
      <c r="V30" s="3">
        <f t="shared" si="0"/>
        <v>0.25883999999999996</v>
      </c>
      <c r="W30" s="3">
        <f t="shared" si="1"/>
        <v>0.25884000000000107</v>
      </c>
      <c r="X30" s="3">
        <f t="shared" si="2"/>
        <v>-1.1102230246251565E-15</v>
      </c>
    </row>
    <row r="31" spans="1:24" x14ac:dyDescent="0.15">
      <c r="A31" s="1" t="s">
        <v>29</v>
      </c>
      <c r="B31">
        <v>152.77311999999998</v>
      </c>
      <c r="C31">
        <v>122.45864799999998</v>
      </c>
      <c r="D31">
        <v>0</v>
      </c>
      <c r="E31">
        <v>0</v>
      </c>
      <c r="F31">
        <v>0</v>
      </c>
      <c r="G31">
        <v>0</v>
      </c>
      <c r="H31">
        <v>0</v>
      </c>
      <c r="J31">
        <v>-248.78015199999999</v>
      </c>
      <c r="L31">
        <v>57.869287999999997</v>
      </c>
      <c r="N31">
        <v>0</v>
      </c>
      <c r="O31">
        <v>180.98498599999999</v>
      </c>
      <c r="P31">
        <v>0</v>
      </c>
      <c r="Q31">
        <v>4.2857500000000002</v>
      </c>
      <c r="R31">
        <v>6.5143399999999998</v>
      </c>
      <c r="S31">
        <v>3.5486009999999997</v>
      </c>
      <c r="T31">
        <v>25.891659000000004</v>
      </c>
      <c r="U31">
        <v>0</v>
      </c>
      <c r="V31" s="3">
        <f t="shared" si="0"/>
        <v>152.77311999999998</v>
      </c>
      <c r="W31" s="3">
        <f t="shared" si="1"/>
        <v>152.77311999999998</v>
      </c>
      <c r="X31" s="3">
        <f t="shared" si="2"/>
        <v>0</v>
      </c>
    </row>
    <row r="32" spans="1:24" x14ac:dyDescent="0.15">
      <c r="O32">
        <f>SUM(O2:O31)</f>
        <v>10383.377093164232</v>
      </c>
    </row>
    <row r="33" spans="1:1" x14ac:dyDescent="0.15">
      <c r="A33" s="1" t="s">
        <v>49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3"/>
  <sheetViews>
    <sheetView topLeftCell="B1" zoomScale="70" zoomScaleNormal="70" workbookViewId="0">
      <selection activeCell="O33" sqref="O33"/>
    </sheetView>
  </sheetViews>
  <sheetFormatPr defaultRowHeight="13.5" x14ac:dyDescent="0.15"/>
  <sheetData>
    <row r="1" spans="1:24" x14ac:dyDescent="0.15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 x14ac:dyDescent="0.15">
      <c r="A2" s="1" t="s">
        <v>0</v>
      </c>
      <c r="B2" s="3">
        <v>67.258487999999929</v>
      </c>
      <c r="C2">
        <v>1.4285999999915318E-2</v>
      </c>
      <c r="D2">
        <v>0</v>
      </c>
      <c r="E2">
        <v>862.54582200000004</v>
      </c>
      <c r="F2">
        <v>502.82434200000006</v>
      </c>
      <c r="G2">
        <v>0</v>
      </c>
      <c r="H2">
        <v>0</v>
      </c>
      <c r="J2">
        <v>1354.641378</v>
      </c>
      <c r="L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3.8286480000000003</v>
      </c>
      <c r="U2">
        <v>74.14434</v>
      </c>
      <c r="V2" s="3">
        <f>B2+E2+F2+I2</f>
        <v>1432.6286520000001</v>
      </c>
      <c r="W2" s="3">
        <f>C2+D2+SUM(G2:U2)-I2</f>
        <v>1432.6286519999999</v>
      </c>
      <c r="X2" s="3">
        <f>V2-W2</f>
        <v>0</v>
      </c>
    </row>
    <row r="3" spans="1:24" x14ac:dyDescent="0.15">
      <c r="A3" s="1" t="s">
        <v>1</v>
      </c>
      <c r="B3">
        <v>2867.0859120000005</v>
      </c>
      <c r="C3">
        <v>1883.6948159999999</v>
      </c>
      <c r="D3">
        <v>268.43394000000001</v>
      </c>
      <c r="E3">
        <v>70.672842000000003</v>
      </c>
      <c r="F3">
        <v>718.15722000000005</v>
      </c>
      <c r="G3">
        <v>0</v>
      </c>
      <c r="H3">
        <v>0</v>
      </c>
      <c r="J3">
        <v>1323.1550340000001</v>
      </c>
      <c r="L3">
        <v>0</v>
      </c>
      <c r="N3">
        <v>0</v>
      </c>
      <c r="O3">
        <v>17.286059999999999</v>
      </c>
      <c r="P3">
        <v>0</v>
      </c>
      <c r="Q3">
        <v>0</v>
      </c>
      <c r="R3">
        <v>0</v>
      </c>
      <c r="S3">
        <v>0</v>
      </c>
      <c r="T3">
        <v>16.928910000000002</v>
      </c>
      <c r="U3">
        <v>146.417214</v>
      </c>
      <c r="V3" s="3">
        <f t="shared" ref="V3:V31" si="0">B3+E3+F3+I3</f>
        <v>3655.9159740000005</v>
      </c>
      <c r="W3" s="3">
        <f t="shared" ref="W3:W31" si="1">C3+D3+SUM(G3:U3)-I3</f>
        <v>3655.9159740000005</v>
      </c>
      <c r="X3" s="3">
        <f t="shared" ref="X3:X31" si="2">V3-W3</f>
        <v>0</v>
      </c>
    </row>
    <row r="4" spans="1:24" x14ac:dyDescent="0.15">
      <c r="A4" s="1" t="s">
        <v>2</v>
      </c>
      <c r="B4">
        <v>995.26276199999995</v>
      </c>
      <c r="C4">
        <v>200.13257400000001</v>
      </c>
      <c r="D4">
        <v>0</v>
      </c>
      <c r="E4">
        <v>410.79596718360028</v>
      </c>
      <c r="F4">
        <v>465.25216200000006</v>
      </c>
      <c r="G4">
        <v>0</v>
      </c>
      <c r="H4">
        <v>0</v>
      </c>
      <c r="J4">
        <v>1534.5021180000003</v>
      </c>
      <c r="L4">
        <v>0</v>
      </c>
      <c r="N4">
        <v>0</v>
      </c>
      <c r="O4">
        <v>51.488781183600025</v>
      </c>
      <c r="P4">
        <v>0</v>
      </c>
      <c r="Q4">
        <v>0</v>
      </c>
      <c r="R4">
        <v>0</v>
      </c>
      <c r="S4">
        <v>0</v>
      </c>
      <c r="T4">
        <v>20.857560000000003</v>
      </c>
      <c r="U4">
        <v>64.329858000000002</v>
      </c>
      <c r="V4" s="3">
        <f t="shared" si="0"/>
        <v>1871.3108911836002</v>
      </c>
      <c r="W4" s="3">
        <f t="shared" si="1"/>
        <v>1871.3108911836002</v>
      </c>
      <c r="X4" s="3">
        <f t="shared" si="2"/>
        <v>0</v>
      </c>
    </row>
    <row r="5" spans="1:24" x14ac:dyDescent="0.15">
      <c r="A5" s="1" t="s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0</v>
      </c>
      <c r="W5" s="3">
        <f t="shared" si="1"/>
        <v>0</v>
      </c>
      <c r="X5" s="3">
        <f t="shared" si="2"/>
        <v>0</v>
      </c>
    </row>
    <row r="6" spans="1:24" x14ac:dyDescent="0.15">
      <c r="A6" s="1" t="s">
        <v>4</v>
      </c>
      <c r="B6">
        <v>256.17598056000003</v>
      </c>
      <c r="C6">
        <v>123.98819400000002</v>
      </c>
      <c r="D6">
        <v>0</v>
      </c>
      <c r="E6">
        <v>3.5714999999764503E-3</v>
      </c>
      <c r="F6">
        <v>85.70171400000001</v>
      </c>
      <c r="G6">
        <v>0</v>
      </c>
      <c r="H6">
        <v>0</v>
      </c>
      <c r="J6">
        <v>190.06865844000001</v>
      </c>
      <c r="L6">
        <v>0</v>
      </c>
      <c r="N6">
        <v>0</v>
      </c>
      <c r="O6">
        <v>13.968565079999999</v>
      </c>
      <c r="P6">
        <v>0</v>
      </c>
      <c r="Q6">
        <v>0</v>
      </c>
      <c r="R6">
        <v>0</v>
      </c>
      <c r="S6">
        <v>0</v>
      </c>
      <c r="T6">
        <v>0</v>
      </c>
      <c r="U6">
        <v>13.85584854</v>
      </c>
      <c r="V6" s="3">
        <f t="shared" si="0"/>
        <v>341.88126606000003</v>
      </c>
      <c r="W6" s="3">
        <f t="shared" si="1"/>
        <v>341.88126606000003</v>
      </c>
      <c r="X6" s="3">
        <f t="shared" si="2"/>
        <v>0</v>
      </c>
    </row>
    <row r="7" spans="1:24" x14ac:dyDescent="0.15">
      <c r="A7" s="2" t="s">
        <v>5</v>
      </c>
      <c r="B7">
        <v>2033.2692360000001</v>
      </c>
      <c r="C7">
        <v>5.7144000000000004</v>
      </c>
      <c r="D7">
        <v>17.471778</v>
      </c>
      <c r="E7">
        <v>5089.9589400000004</v>
      </c>
      <c r="F7">
        <v>1637.1756</v>
      </c>
      <c r="G7">
        <v>0</v>
      </c>
      <c r="H7">
        <v>0</v>
      </c>
      <c r="J7">
        <v>8074.2329100000006</v>
      </c>
      <c r="L7">
        <v>1.200024</v>
      </c>
      <c r="N7">
        <v>0</v>
      </c>
      <c r="O7">
        <v>288.34862400000003</v>
      </c>
      <c r="P7">
        <v>0</v>
      </c>
      <c r="Q7">
        <v>0</v>
      </c>
      <c r="R7">
        <v>0</v>
      </c>
      <c r="S7">
        <v>15.714600000000001</v>
      </c>
      <c r="T7">
        <v>39.900798000000009</v>
      </c>
      <c r="U7">
        <v>317.82064200000002</v>
      </c>
      <c r="V7" s="3">
        <f t="shared" si="0"/>
        <v>8760.403776000001</v>
      </c>
      <c r="W7" s="3">
        <f t="shared" si="1"/>
        <v>8760.403776000001</v>
      </c>
      <c r="X7" s="3">
        <f t="shared" si="2"/>
        <v>0</v>
      </c>
    </row>
    <row r="8" spans="1:24" x14ac:dyDescent="0.15">
      <c r="A8" s="1" t="s">
        <v>6</v>
      </c>
      <c r="B8">
        <v>927.81855600000006</v>
      </c>
      <c r="C8">
        <v>0</v>
      </c>
      <c r="D8">
        <v>0</v>
      </c>
      <c r="E8">
        <v>528.02484600000003</v>
      </c>
      <c r="F8">
        <v>0</v>
      </c>
      <c r="G8">
        <v>0</v>
      </c>
      <c r="H8">
        <v>0</v>
      </c>
      <c r="J8">
        <v>937.00445400000001</v>
      </c>
      <c r="L8">
        <v>0</v>
      </c>
      <c r="N8">
        <v>0</v>
      </c>
      <c r="O8">
        <v>471.12513660000002</v>
      </c>
      <c r="P8">
        <v>0</v>
      </c>
      <c r="Q8">
        <v>0</v>
      </c>
      <c r="R8">
        <v>0</v>
      </c>
      <c r="S8">
        <v>0</v>
      </c>
      <c r="T8">
        <v>0.58572600000003572</v>
      </c>
      <c r="U8">
        <v>47.129514000000007</v>
      </c>
      <c r="V8" s="3">
        <f t="shared" si="0"/>
        <v>1455.843402</v>
      </c>
      <c r="W8" s="3">
        <f t="shared" si="1"/>
        <v>1455.8448306</v>
      </c>
      <c r="X8" s="3">
        <f t="shared" si="2"/>
        <v>-1.4286000000538479E-3</v>
      </c>
    </row>
    <row r="9" spans="1:24" x14ac:dyDescent="0.15">
      <c r="A9" s="1" t="s">
        <v>7</v>
      </c>
      <c r="B9">
        <v>6028.1634180000001</v>
      </c>
      <c r="C9">
        <v>3629.2582980000002</v>
      </c>
      <c r="D9">
        <v>0</v>
      </c>
      <c r="E9">
        <v>118.38808200000001</v>
      </c>
      <c r="F9">
        <v>253.14792</v>
      </c>
      <c r="G9">
        <v>0</v>
      </c>
      <c r="H9">
        <v>0</v>
      </c>
      <c r="J9">
        <v>2202.701196</v>
      </c>
      <c r="L9">
        <v>0</v>
      </c>
      <c r="N9">
        <v>0</v>
      </c>
      <c r="O9">
        <v>420.194118</v>
      </c>
      <c r="P9">
        <v>0</v>
      </c>
      <c r="Q9">
        <v>0</v>
      </c>
      <c r="R9">
        <v>0</v>
      </c>
      <c r="S9">
        <v>0</v>
      </c>
      <c r="T9">
        <v>71.47285799999996</v>
      </c>
      <c r="U9">
        <v>76.072950000000006</v>
      </c>
      <c r="V9" s="3">
        <f t="shared" si="0"/>
        <v>6399.6994200000008</v>
      </c>
      <c r="W9" s="3">
        <f t="shared" si="1"/>
        <v>6399.6994200000008</v>
      </c>
      <c r="X9" s="3">
        <f t="shared" si="2"/>
        <v>0</v>
      </c>
    </row>
    <row r="10" spans="1:24" x14ac:dyDescent="0.15">
      <c r="A10" s="1" t="s">
        <v>8</v>
      </c>
      <c r="B10">
        <v>119.93096999999973</v>
      </c>
      <c r="C10">
        <v>11.057364000000002</v>
      </c>
      <c r="D10">
        <v>0</v>
      </c>
      <c r="E10">
        <v>245.17633200000003</v>
      </c>
      <c r="F10">
        <v>2220.387264</v>
      </c>
      <c r="G10">
        <v>0</v>
      </c>
      <c r="H10">
        <v>0</v>
      </c>
      <c r="J10">
        <v>2450.1490020000001</v>
      </c>
      <c r="L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6.4287000000000001</v>
      </c>
      <c r="U10">
        <v>117.85950000000001</v>
      </c>
      <c r="V10" s="3">
        <f t="shared" si="0"/>
        <v>2585.4945659999998</v>
      </c>
      <c r="W10" s="3">
        <f t="shared" si="1"/>
        <v>2585.4945659999998</v>
      </c>
      <c r="X10" s="3">
        <f t="shared" si="2"/>
        <v>0</v>
      </c>
    </row>
    <row r="11" spans="1:24" x14ac:dyDescent="0.15">
      <c r="A11" s="1" t="s">
        <v>9</v>
      </c>
      <c r="B11">
        <v>364.56443400000012</v>
      </c>
      <c r="C11">
        <v>28.543428000000002</v>
      </c>
      <c r="D11">
        <v>0</v>
      </c>
      <c r="E11">
        <v>1079.4501600000001</v>
      </c>
      <c r="F11">
        <v>2163.6289860000002</v>
      </c>
      <c r="G11">
        <v>0</v>
      </c>
      <c r="H11">
        <v>0</v>
      </c>
      <c r="J11">
        <v>3469.7265360000006</v>
      </c>
      <c r="L11">
        <v>0</v>
      </c>
      <c r="N11">
        <v>0</v>
      </c>
      <c r="O11">
        <v>22.014726000000003</v>
      </c>
      <c r="P11">
        <v>0</v>
      </c>
      <c r="Q11">
        <v>0</v>
      </c>
      <c r="R11">
        <v>0</v>
      </c>
      <c r="S11">
        <v>0</v>
      </c>
      <c r="T11">
        <v>14.043138000000004</v>
      </c>
      <c r="U11">
        <v>73.315752000000003</v>
      </c>
      <c r="V11" s="3">
        <f t="shared" si="0"/>
        <v>3607.6435800000004</v>
      </c>
      <c r="W11" s="3">
        <f t="shared" si="1"/>
        <v>3607.6435800000004</v>
      </c>
      <c r="X11" s="3">
        <f t="shared" si="2"/>
        <v>0</v>
      </c>
    </row>
    <row r="12" spans="1:24" x14ac:dyDescent="0.15">
      <c r="A12" s="1" t="s">
        <v>10</v>
      </c>
      <c r="B12">
        <v>118.7023740000004</v>
      </c>
      <c r="C12">
        <v>6.5715600001652582E-3</v>
      </c>
      <c r="D12">
        <v>0</v>
      </c>
      <c r="E12">
        <v>639.84136799999999</v>
      </c>
      <c r="F12">
        <v>2559.1583250000003</v>
      </c>
      <c r="G12">
        <v>0</v>
      </c>
      <c r="H12">
        <v>0</v>
      </c>
      <c r="J12">
        <v>3190.6670977800004</v>
      </c>
      <c r="L12">
        <v>21.644575740000001</v>
      </c>
      <c r="N12">
        <v>0</v>
      </c>
      <c r="O12">
        <v>0.22957602000000002</v>
      </c>
      <c r="P12">
        <v>0</v>
      </c>
      <c r="Q12">
        <v>0</v>
      </c>
      <c r="R12">
        <v>0</v>
      </c>
      <c r="S12">
        <v>0</v>
      </c>
      <c r="T12">
        <v>0</v>
      </c>
      <c r="U12">
        <v>105.15424590000001</v>
      </c>
      <c r="V12" s="3">
        <f t="shared" si="0"/>
        <v>3317.7020670000006</v>
      </c>
      <c r="W12" s="3">
        <f t="shared" si="1"/>
        <v>3317.7020670000011</v>
      </c>
      <c r="X12" s="3">
        <f t="shared" si="2"/>
        <v>0</v>
      </c>
    </row>
    <row r="13" spans="1:24" x14ac:dyDescent="0.15">
      <c r="A13" s="1" t="s">
        <v>11</v>
      </c>
      <c r="B13">
        <v>13.557414000000019</v>
      </c>
      <c r="C13">
        <v>1.8143220000000198</v>
      </c>
      <c r="D13">
        <v>0</v>
      </c>
      <c r="E13">
        <v>389.82208200000002</v>
      </c>
      <c r="F13">
        <v>249.46213200000003</v>
      </c>
      <c r="G13">
        <v>0</v>
      </c>
      <c r="H13">
        <v>0</v>
      </c>
      <c r="J13">
        <v>639.28421400000002</v>
      </c>
      <c r="L13">
        <v>0</v>
      </c>
      <c r="N13">
        <v>0</v>
      </c>
      <c r="O13">
        <v>5.1286740000000002</v>
      </c>
      <c r="P13">
        <v>0</v>
      </c>
      <c r="Q13">
        <v>0</v>
      </c>
      <c r="R13">
        <v>0</v>
      </c>
      <c r="S13">
        <v>0</v>
      </c>
      <c r="T13">
        <v>0</v>
      </c>
      <c r="U13">
        <v>6.6144180000000006</v>
      </c>
      <c r="V13" s="3">
        <f t="shared" si="0"/>
        <v>652.84162800000001</v>
      </c>
      <c r="W13" s="3">
        <f t="shared" si="1"/>
        <v>652.84162800000013</v>
      </c>
      <c r="X13" s="3">
        <f t="shared" si="2"/>
        <v>0</v>
      </c>
    </row>
    <row r="14" spans="1:24" x14ac:dyDescent="0.15">
      <c r="A14" s="1" t="s">
        <v>12</v>
      </c>
      <c r="B14">
        <v>31.657775999999963</v>
      </c>
      <c r="C14">
        <v>0</v>
      </c>
      <c r="D14">
        <v>0</v>
      </c>
      <c r="E14">
        <v>495.88134600000006</v>
      </c>
      <c r="F14">
        <v>0</v>
      </c>
      <c r="G14">
        <v>0</v>
      </c>
      <c r="H14">
        <v>0</v>
      </c>
      <c r="J14">
        <v>503.338638</v>
      </c>
      <c r="L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24.200484000000003</v>
      </c>
      <c r="V14" s="3">
        <f t="shared" si="0"/>
        <v>527.53912200000002</v>
      </c>
      <c r="W14" s="3">
        <f t="shared" si="1"/>
        <v>527.53912200000002</v>
      </c>
      <c r="X14" s="3">
        <f t="shared" si="2"/>
        <v>0</v>
      </c>
    </row>
    <row r="15" spans="1:24" x14ac:dyDescent="0.15">
      <c r="A15" s="1" t="s">
        <v>13</v>
      </c>
      <c r="B15">
        <v>14.957442000000034</v>
      </c>
      <c r="C15">
        <v>0</v>
      </c>
      <c r="D15">
        <v>0</v>
      </c>
      <c r="E15">
        <v>347.96410200000003</v>
      </c>
      <c r="F15">
        <v>213.28998000000004</v>
      </c>
      <c r="G15">
        <v>0</v>
      </c>
      <c r="H15">
        <v>0</v>
      </c>
      <c r="J15">
        <v>563.23983599999997</v>
      </c>
      <c r="L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3.157206</v>
      </c>
      <c r="U15">
        <v>9.8144819999999999</v>
      </c>
      <c r="V15" s="3">
        <f t="shared" si="0"/>
        <v>576.21152400000005</v>
      </c>
      <c r="W15" s="3">
        <f t="shared" si="1"/>
        <v>576.21152399999994</v>
      </c>
      <c r="X15" s="3">
        <f t="shared" si="2"/>
        <v>0</v>
      </c>
    </row>
    <row r="16" spans="1:24" x14ac:dyDescent="0.15">
      <c r="A16" s="1" t="s">
        <v>14</v>
      </c>
      <c r="B16">
        <v>4186.5837299999994</v>
      </c>
      <c r="C16">
        <v>2285.7600000000002</v>
      </c>
      <c r="D16">
        <v>0</v>
      </c>
      <c r="E16">
        <v>1559.1804687000003</v>
      </c>
      <c r="F16">
        <v>2571.48</v>
      </c>
      <c r="G16">
        <v>0</v>
      </c>
      <c r="H16">
        <v>0</v>
      </c>
      <c r="J16">
        <v>5622.9981720000005</v>
      </c>
      <c r="L16">
        <v>0</v>
      </c>
      <c r="N16">
        <v>0</v>
      </c>
      <c r="O16">
        <v>199.50451143899932</v>
      </c>
      <c r="P16">
        <v>0</v>
      </c>
      <c r="Q16">
        <v>0</v>
      </c>
      <c r="R16">
        <v>0</v>
      </c>
      <c r="S16">
        <v>0</v>
      </c>
      <c r="T16">
        <v>0</v>
      </c>
      <c r="U16">
        <v>208.981515261</v>
      </c>
      <c r="V16" s="3">
        <f t="shared" si="0"/>
        <v>8317.2441987000002</v>
      </c>
      <c r="W16" s="3">
        <f t="shared" si="1"/>
        <v>8317.2441987000002</v>
      </c>
      <c r="X16" s="3">
        <f t="shared" si="2"/>
        <v>0</v>
      </c>
    </row>
    <row r="17" spans="1:24" x14ac:dyDescent="0.15">
      <c r="A17" s="1" t="s">
        <v>15</v>
      </c>
      <c r="B17">
        <v>751.17216600000017</v>
      </c>
      <c r="C17">
        <v>180.68932800000002</v>
      </c>
      <c r="D17">
        <v>0</v>
      </c>
      <c r="E17">
        <v>158.00315999999987</v>
      </c>
      <c r="F17">
        <v>322.86360000000002</v>
      </c>
      <c r="G17">
        <v>0</v>
      </c>
      <c r="H17">
        <v>0</v>
      </c>
      <c r="J17">
        <v>987.74832600000002</v>
      </c>
      <c r="L17">
        <v>0.61429800000000001</v>
      </c>
      <c r="N17">
        <v>0</v>
      </c>
      <c r="O17">
        <v>24.557634000000004</v>
      </c>
      <c r="P17">
        <v>0</v>
      </c>
      <c r="Q17">
        <v>0</v>
      </c>
      <c r="R17">
        <v>0</v>
      </c>
      <c r="S17">
        <v>0</v>
      </c>
      <c r="T17">
        <v>6.8572800000000012</v>
      </c>
      <c r="U17">
        <v>31.572060000000004</v>
      </c>
      <c r="V17" s="3">
        <f t="shared" si="0"/>
        <v>1232.0389260000002</v>
      </c>
      <c r="W17" s="3">
        <f t="shared" si="1"/>
        <v>1232.0389259999999</v>
      </c>
      <c r="X17" s="3">
        <f t="shared" si="2"/>
        <v>0</v>
      </c>
    </row>
    <row r="18" spans="1:24" x14ac:dyDescent="0.15">
      <c r="A18" s="1" t="s">
        <v>16</v>
      </c>
      <c r="B18">
        <v>185.96086200000005</v>
      </c>
      <c r="C18">
        <v>0</v>
      </c>
      <c r="D18">
        <v>0</v>
      </c>
      <c r="E18">
        <v>1150.423008</v>
      </c>
      <c r="F18">
        <v>0</v>
      </c>
      <c r="G18">
        <v>0</v>
      </c>
      <c r="H18">
        <v>0</v>
      </c>
      <c r="J18">
        <v>1279.139868</v>
      </c>
      <c r="L18">
        <v>0</v>
      </c>
      <c r="N18">
        <v>0</v>
      </c>
      <c r="O18">
        <v>13.657416000000001</v>
      </c>
      <c r="P18">
        <v>0</v>
      </c>
      <c r="Q18">
        <v>0</v>
      </c>
      <c r="R18">
        <v>0</v>
      </c>
      <c r="S18">
        <v>0</v>
      </c>
      <c r="T18">
        <v>7.2287160000000013</v>
      </c>
      <c r="U18">
        <v>36.357869999999998</v>
      </c>
      <c r="V18" s="3">
        <f t="shared" si="0"/>
        <v>1336.3838700000001</v>
      </c>
      <c r="W18" s="3">
        <f t="shared" si="1"/>
        <v>1336.3838700000001</v>
      </c>
      <c r="X18" s="3">
        <f t="shared" si="2"/>
        <v>0</v>
      </c>
    </row>
    <row r="19" spans="1:24" x14ac:dyDescent="0.15">
      <c r="A19" s="1" t="s">
        <v>17</v>
      </c>
      <c r="B19">
        <v>47.429519999999904</v>
      </c>
      <c r="C19">
        <v>0</v>
      </c>
      <c r="D19">
        <v>0</v>
      </c>
      <c r="E19">
        <v>645.32719200000008</v>
      </c>
      <c r="F19">
        <v>288.26290800000004</v>
      </c>
      <c r="G19">
        <v>0</v>
      </c>
      <c r="H19">
        <v>0</v>
      </c>
      <c r="J19">
        <v>952.03332599999999</v>
      </c>
      <c r="L19">
        <v>0</v>
      </c>
      <c r="N19">
        <v>0</v>
      </c>
      <c r="O19">
        <v>6.1429800000000006</v>
      </c>
      <c r="P19">
        <v>0</v>
      </c>
      <c r="Q19">
        <v>0</v>
      </c>
      <c r="R19">
        <v>0</v>
      </c>
      <c r="S19">
        <v>0</v>
      </c>
      <c r="T19">
        <v>1.371456</v>
      </c>
      <c r="U19">
        <v>21.471858000000001</v>
      </c>
      <c r="V19" s="3">
        <f t="shared" si="0"/>
        <v>981.01962000000003</v>
      </c>
      <c r="W19" s="3">
        <f t="shared" si="1"/>
        <v>981.01961999999992</v>
      </c>
      <c r="X19" s="3">
        <f t="shared" si="2"/>
        <v>0</v>
      </c>
    </row>
    <row r="20" spans="1:24" x14ac:dyDescent="0.15">
      <c r="A20" s="1" t="s">
        <v>18</v>
      </c>
      <c r="B20">
        <v>2041.2122520000003</v>
      </c>
      <c r="C20">
        <v>0</v>
      </c>
      <c r="D20">
        <v>22.214730000000003</v>
      </c>
      <c r="E20">
        <v>516.75319200000013</v>
      </c>
      <c r="F20">
        <v>1840.8082440000001</v>
      </c>
      <c r="G20">
        <v>0</v>
      </c>
      <c r="H20">
        <v>0</v>
      </c>
      <c r="J20">
        <v>4163.5546979999999</v>
      </c>
      <c r="L20">
        <v>0</v>
      </c>
      <c r="N20">
        <v>0</v>
      </c>
      <c r="O20">
        <v>30.029172000000003</v>
      </c>
      <c r="P20">
        <v>0</v>
      </c>
      <c r="Q20">
        <v>0</v>
      </c>
      <c r="R20">
        <v>0</v>
      </c>
      <c r="S20">
        <v>0</v>
      </c>
      <c r="T20">
        <v>6.6429900000000037</v>
      </c>
      <c r="U20">
        <v>176.33209800000003</v>
      </c>
      <c r="V20" s="3">
        <f t="shared" si="0"/>
        <v>4398.7736880000002</v>
      </c>
      <c r="W20" s="3">
        <f t="shared" si="1"/>
        <v>4398.7736879999993</v>
      </c>
      <c r="X20" s="3">
        <f t="shared" si="2"/>
        <v>0</v>
      </c>
    </row>
    <row r="21" spans="1:24" x14ac:dyDescent="0.15">
      <c r="A21" s="1" t="s">
        <v>19</v>
      </c>
      <c r="B21">
        <v>22.466449320000027</v>
      </c>
      <c r="C21">
        <v>0</v>
      </c>
      <c r="D21">
        <v>0</v>
      </c>
      <c r="E21">
        <v>205.25239068000002</v>
      </c>
      <c r="F21">
        <v>0</v>
      </c>
      <c r="G21">
        <v>0</v>
      </c>
      <c r="H21">
        <v>0</v>
      </c>
      <c r="J21">
        <v>218.20436400000003</v>
      </c>
      <c r="L21">
        <v>0</v>
      </c>
      <c r="N21">
        <v>0</v>
      </c>
      <c r="O21">
        <v>0.342864</v>
      </c>
      <c r="P21">
        <v>0</v>
      </c>
      <c r="Q21">
        <v>0</v>
      </c>
      <c r="R21">
        <v>0</v>
      </c>
      <c r="S21">
        <v>0</v>
      </c>
      <c r="T21">
        <v>0</v>
      </c>
      <c r="U21">
        <v>9.1716119999999997</v>
      </c>
      <c r="V21" s="3">
        <f t="shared" si="0"/>
        <v>227.71884000000006</v>
      </c>
      <c r="W21" s="3">
        <f t="shared" si="1"/>
        <v>227.71884000000003</v>
      </c>
      <c r="X21" s="3">
        <f t="shared" si="2"/>
        <v>0</v>
      </c>
    </row>
    <row r="22" spans="1:24" x14ac:dyDescent="0.15">
      <c r="A22" s="1" t="s">
        <v>20</v>
      </c>
      <c r="B22">
        <v>15.22887599999989</v>
      </c>
      <c r="C22">
        <v>0</v>
      </c>
      <c r="D22">
        <v>0</v>
      </c>
      <c r="E22">
        <v>115.11658799999998</v>
      </c>
      <c r="F22">
        <v>1021.4347140000001</v>
      </c>
      <c r="G22">
        <v>0</v>
      </c>
      <c r="H22">
        <v>0</v>
      </c>
      <c r="J22">
        <v>1157.065998</v>
      </c>
      <c r="L22">
        <v>0</v>
      </c>
      <c r="N22">
        <v>0</v>
      </c>
      <c r="O22">
        <v>4.5286620000000006</v>
      </c>
      <c r="P22">
        <v>0</v>
      </c>
      <c r="Q22">
        <v>0</v>
      </c>
      <c r="R22">
        <v>0</v>
      </c>
      <c r="S22">
        <v>0</v>
      </c>
      <c r="T22">
        <v>4.542948</v>
      </c>
      <c r="U22">
        <v>-14.357430000000003</v>
      </c>
      <c r="V22" s="3">
        <f t="shared" si="0"/>
        <v>1151.780178</v>
      </c>
      <c r="W22" s="3">
        <f t="shared" si="1"/>
        <v>1151.780178</v>
      </c>
      <c r="X22" s="3">
        <f t="shared" si="2"/>
        <v>0</v>
      </c>
    </row>
    <row r="23" spans="1:24" x14ac:dyDescent="0.15">
      <c r="A23" s="1" t="s">
        <v>21</v>
      </c>
      <c r="B23">
        <v>0.27143400000000001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J23">
        <v>0</v>
      </c>
      <c r="L23">
        <v>0</v>
      </c>
      <c r="N23">
        <v>0</v>
      </c>
      <c r="O23">
        <v>0.18571800000000002</v>
      </c>
      <c r="P23">
        <v>0</v>
      </c>
      <c r="Q23">
        <v>0</v>
      </c>
      <c r="R23">
        <v>0</v>
      </c>
      <c r="S23">
        <v>0</v>
      </c>
      <c r="T23">
        <v>0</v>
      </c>
      <c r="U23">
        <v>8.5716000000000001E-2</v>
      </c>
      <c r="V23" s="3">
        <f t="shared" si="0"/>
        <v>0.27143400000000001</v>
      </c>
      <c r="W23" s="3">
        <f t="shared" si="1"/>
        <v>0.27143400000000001</v>
      </c>
      <c r="X23" s="3">
        <f t="shared" si="2"/>
        <v>0</v>
      </c>
    </row>
    <row r="24" spans="1:24" x14ac:dyDescent="0.15">
      <c r="A24" s="1" t="s">
        <v>22</v>
      </c>
      <c r="B24">
        <v>25.914804000000004</v>
      </c>
      <c r="C24">
        <v>0</v>
      </c>
      <c r="D24">
        <v>0</v>
      </c>
      <c r="E24">
        <v>325.33507800000001</v>
      </c>
      <c r="F24">
        <v>0</v>
      </c>
      <c r="G24">
        <v>0</v>
      </c>
      <c r="H24">
        <v>0</v>
      </c>
      <c r="J24">
        <v>338.03533200000004</v>
      </c>
      <c r="L24">
        <v>0</v>
      </c>
      <c r="N24">
        <v>0</v>
      </c>
      <c r="O24">
        <v>3.7143600000000006</v>
      </c>
      <c r="P24">
        <v>0</v>
      </c>
      <c r="Q24">
        <v>0</v>
      </c>
      <c r="R24">
        <v>0</v>
      </c>
      <c r="S24">
        <v>0</v>
      </c>
      <c r="T24">
        <v>1.042878</v>
      </c>
      <c r="U24">
        <v>8.4573119999999999</v>
      </c>
      <c r="V24" s="3">
        <f t="shared" si="0"/>
        <v>351.24988200000001</v>
      </c>
      <c r="W24" s="3">
        <f t="shared" si="1"/>
        <v>351.24988200000001</v>
      </c>
      <c r="X24" s="3">
        <f t="shared" si="2"/>
        <v>0</v>
      </c>
    </row>
    <row r="25" spans="1:24" x14ac:dyDescent="0.15">
      <c r="A25" s="1" t="s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L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0</v>
      </c>
      <c r="W25" s="3">
        <f t="shared" si="1"/>
        <v>0</v>
      </c>
      <c r="X25" s="3">
        <f t="shared" si="2"/>
        <v>0</v>
      </c>
    </row>
    <row r="26" spans="1:24" x14ac:dyDescent="0.15">
      <c r="A26" s="1" t="s">
        <v>24</v>
      </c>
      <c r="B26">
        <v>0.22857600000000003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J26">
        <v>0</v>
      </c>
      <c r="L26">
        <v>0</v>
      </c>
      <c r="N26">
        <v>0</v>
      </c>
      <c r="O26">
        <v>0.15714600000000001</v>
      </c>
      <c r="P26">
        <v>0</v>
      </c>
      <c r="Q26">
        <v>0</v>
      </c>
      <c r="R26">
        <v>0</v>
      </c>
      <c r="S26">
        <v>0</v>
      </c>
      <c r="T26">
        <v>0</v>
      </c>
      <c r="U26">
        <v>7.1430000000000007E-2</v>
      </c>
      <c r="V26" s="3">
        <f t="shared" si="0"/>
        <v>0.22857600000000003</v>
      </c>
      <c r="W26" s="3">
        <f t="shared" si="1"/>
        <v>0.228576</v>
      </c>
      <c r="X26" s="3">
        <f t="shared" si="2"/>
        <v>0</v>
      </c>
    </row>
    <row r="27" spans="1:24" x14ac:dyDescent="0.15">
      <c r="A27" s="1" t="s">
        <v>25</v>
      </c>
      <c r="B27">
        <v>3276.1083780000004</v>
      </c>
      <c r="C27">
        <v>56.258268000000029</v>
      </c>
      <c r="D27">
        <v>457.15200000000004</v>
      </c>
      <c r="E27">
        <v>0</v>
      </c>
      <c r="F27">
        <v>0</v>
      </c>
      <c r="G27">
        <v>0</v>
      </c>
      <c r="H27">
        <v>0</v>
      </c>
      <c r="J27">
        <v>2295.4030500000003</v>
      </c>
      <c r="L27">
        <v>0</v>
      </c>
      <c r="N27">
        <v>0</v>
      </c>
      <c r="O27">
        <v>3.0000600000000004</v>
      </c>
      <c r="P27">
        <v>0</v>
      </c>
      <c r="Q27">
        <v>0</v>
      </c>
      <c r="R27">
        <v>0</v>
      </c>
      <c r="S27">
        <v>0</v>
      </c>
      <c r="T27">
        <v>0</v>
      </c>
      <c r="U27">
        <v>464.29500000000002</v>
      </c>
      <c r="V27" s="3">
        <f t="shared" si="0"/>
        <v>3276.1083780000004</v>
      </c>
      <c r="W27" s="3">
        <f t="shared" si="1"/>
        <v>3276.1083780000004</v>
      </c>
      <c r="X27" s="3">
        <f t="shared" si="2"/>
        <v>0</v>
      </c>
    </row>
    <row r="28" spans="1:24" x14ac:dyDescent="0.15">
      <c r="A28" s="1" t="s">
        <v>26</v>
      </c>
      <c r="B28">
        <v>550.25386200000003</v>
      </c>
      <c r="C28">
        <v>0</v>
      </c>
      <c r="D28">
        <v>0</v>
      </c>
      <c r="E28">
        <v>1550.1738599999999</v>
      </c>
      <c r="F28">
        <v>0</v>
      </c>
      <c r="G28">
        <v>0</v>
      </c>
      <c r="H28">
        <v>0</v>
      </c>
      <c r="J28">
        <v>2038.7979180000002</v>
      </c>
      <c r="L28">
        <v>0</v>
      </c>
      <c r="N28">
        <v>0</v>
      </c>
      <c r="O28">
        <v>8.2001640000000009</v>
      </c>
      <c r="P28">
        <v>0</v>
      </c>
      <c r="Q28">
        <v>0</v>
      </c>
      <c r="R28">
        <v>0</v>
      </c>
      <c r="S28">
        <v>0</v>
      </c>
      <c r="T28">
        <v>0</v>
      </c>
      <c r="U28">
        <v>53.429639999999999</v>
      </c>
      <c r="V28" s="3">
        <f t="shared" si="0"/>
        <v>2100.4277219999999</v>
      </c>
      <c r="W28" s="3">
        <f t="shared" si="1"/>
        <v>2100.4277220000004</v>
      </c>
      <c r="X28" s="3">
        <f t="shared" si="2"/>
        <v>0</v>
      </c>
    </row>
    <row r="29" spans="1:24" x14ac:dyDescent="0.15">
      <c r="A29" s="1" t="s">
        <v>27</v>
      </c>
      <c r="B29">
        <v>330.95561898</v>
      </c>
      <c r="C29">
        <v>160.02362898000001</v>
      </c>
      <c r="D29">
        <v>0</v>
      </c>
      <c r="E29">
        <v>0</v>
      </c>
      <c r="F29">
        <v>0</v>
      </c>
      <c r="G29">
        <v>0</v>
      </c>
      <c r="H29">
        <v>0</v>
      </c>
      <c r="J29">
        <v>150.00300000000001</v>
      </c>
      <c r="L29">
        <v>0</v>
      </c>
      <c r="N29">
        <v>0</v>
      </c>
      <c r="O29">
        <v>4.8429540000000006</v>
      </c>
      <c r="P29">
        <v>0</v>
      </c>
      <c r="Q29">
        <v>0</v>
      </c>
      <c r="R29">
        <v>0</v>
      </c>
      <c r="S29">
        <v>0</v>
      </c>
      <c r="T29">
        <v>2.5143360000000006</v>
      </c>
      <c r="U29">
        <v>13.571700000000002</v>
      </c>
      <c r="V29" s="3">
        <f t="shared" si="0"/>
        <v>330.95561898</v>
      </c>
      <c r="W29" s="3">
        <f t="shared" si="1"/>
        <v>330.95561898000005</v>
      </c>
      <c r="X29" s="3">
        <f t="shared" si="2"/>
        <v>0</v>
      </c>
    </row>
    <row r="30" spans="1:24" x14ac:dyDescent="0.15">
      <c r="A30" s="1" t="s">
        <v>28</v>
      </c>
      <c r="B30">
        <v>17.178486420000009</v>
      </c>
      <c r="C30">
        <v>6.7144200000198795E-3</v>
      </c>
      <c r="D30">
        <v>0</v>
      </c>
      <c r="E30">
        <v>213.20426400000002</v>
      </c>
      <c r="F30">
        <v>0</v>
      </c>
      <c r="G30">
        <v>0</v>
      </c>
      <c r="H30">
        <v>0</v>
      </c>
      <c r="J30">
        <v>223.975908</v>
      </c>
      <c r="L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6.4001280000000014</v>
      </c>
      <c r="V30" s="3">
        <f t="shared" si="0"/>
        <v>230.38275042000004</v>
      </c>
      <c r="W30" s="3">
        <f t="shared" si="1"/>
        <v>230.38275042000001</v>
      </c>
      <c r="X30" s="3">
        <f t="shared" si="2"/>
        <v>0</v>
      </c>
    </row>
    <row r="31" spans="1:24" x14ac:dyDescent="0.15">
      <c r="A31" s="1" t="s">
        <v>29</v>
      </c>
      <c r="B31">
        <v>3925.8356580000004</v>
      </c>
      <c r="C31">
        <v>1349.3127000000002</v>
      </c>
      <c r="D31">
        <v>0</v>
      </c>
      <c r="E31">
        <v>0</v>
      </c>
      <c r="F31">
        <v>246.60493200000002</v>
      </c>
      <c r="G31">
        <v>0</v>
      </c>
      <c r="H31">
        <v>0</v>
      </c>
      <c r="J31">
        <v>2427.6771239999998</v>
      </c>
      <c r="L31">
        <v>0.12857399999999999</v>
      </c>
      <c r="N31">
        <v>0</v>
      </c>
      <c r="O31">
        <v>112.34510400000001</v>
      </c>
      <c r="P31">
        <v>0</v>
      </c>
      <c r="Q31">
        <v>0</v>
      </c>
      <c r="R31">
        <v>0</v>
      </c>
      <c r="S31">
        <v>0</v>
      </c>
      <c r="T31">
        <v>136.14558</v>
      </c>
      <c r="U31">
        <v>146.83150800000001</v>
      </c>
      <c r="V31" s="3">
        <f t="shared" si="0"/>
        <v>4172.4405900000002</v>
      </c>
      <c r="W31" s="3">
        <f t="shared" si="1"/>
        <v>4172.4405900000002</v>
      </c>
      <c r="X31" s="3">
        <f t="shared" si="2"/>
        <v>0</v>
      </c>
    </row>
    <row r="32" spans="1:24" x14ac:dyDescent="0.15">
      <c r="O32">
        <f>SUM(O2:O31)</f>
        <v>1700.9930063225995</v>
      </c>
    </row>
    <row r="33" spans="1:1" x14ac:dyDescent="0.15">
      <c r="A33" s="1" t="s">
        <v>49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3"/>
  <sheetViews>
    <sheetView zoomScale="70" zoomScaleNormal="70" workbookViewId="0">
      <selection activeCell="O33" sqref="O33"/>
    </sheetView>
  </sheetViews>
  <sheetFormatPr defaultRowHeight="13.5" x14ac:dyDescent="0.15"/>
  <sheetData>
    <row r="1" spans="1:24" x14ac:dyDescent="0.15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t="s">
        <v>37</v>
      </c>
      <c r="I1" t="s">
        <v>47</v>
      </c>
      <c r="J1" s="19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 x14ac:dyDescent="0.15">
      <c r="A2" s="1" t="s">
        <v>0</v>
      </c>
      <c r="B2" s="3">
        <v>104.88011299999999</v>
      </c>
      <c r="C2">
        <v>917.87740400000007</v>
      </c>
      <c r="D2">
        <v>115.477684</v>
      </c>
      <c r="E2">
        <v>1430.362897</v>
      </c>
      <c r="F2">
        <v>345.41115000000002</v>
      </c>
      <c r="G2">
        <v>0</v>
      </c>
      <c r="H2">
        <v>115.52860200000001</v>
      </c>
      <c r="J2">
        <v>1253.489196</v>
      </c>
      <c r="L2">
        <v>82.379907000000003</v>
      </c>
      <c r="N2">
        <v>19.333075000000001</v>
      </c>
      <c r="O2">
        <v>697.234737</v>
      </c>
      <c r="P2">
        <v>40.034522000000003</v>
      </c>
      <c r="Q2">
        <v>633.75048500000003</v>
      </c>
      <c r="R2">
        <v>60.257082000000004</v>
      </c>
      <c r="S2">
        <v>96.448569999999989</v>
      </c>
      <c r="T2">
        <v>240.14719400000004</v>
      </c>
      <c r="U2">
        <v>115.67409400000001</v>
      </c>
      <c r="V2" s="3">
        <f>B2+J2+E2+F2</f>
        <v>3134.1433559999996</v>
      </c>
      <c r="W2" s="3">
        <f>C2+D2+SUM(G2:U2)-J2</f>
        <v>3134.143356</v>
      </c>
      <c r="X2" s="3">
        <f>V2-W2</f>
        <v>0</v>
      </c>
    </row>
    <row r="3" spans="1:24" x14ac:dyDescent="0.15">
      <c r="A3" s="1" t="s">
        <v>1</v>
      </c>
      <c r="B3">
        <v>83.768423999999854</v>
      </c>
      <c r="C3">
        <v>4079.9288859999997</v>
      </c>
      <c r="D3">
        <v>75.666185999999996</v>
      </c>
      <c r="E3">
        <v>4164.9287830000003</v>
      </c>
      <c r="F3">
        <v>213.21821999999997</v>
      </c>
      <c r="G3">
        <v>0</v>
      </c>
      <c r="H3">
        <v>0</v>
      </c>
      <c r="J3">
        <v>1415.2381920000003</v>
      </c>
      <c r="L3">
        <v>1.8286080000000002</v>
      </c>
      <c r="N3">
        <v>30.619260000000001</v>
      </c>
      <c r="O3">
        <v>925.8772560000001</v>
      </c>
      <c r="P3">
        <v>34.692489999999999</v>
      </c>
      <c r="Q3">
        <v>306.48226600000004</v>
      </c>
      <c r="R3">
        <v>160.13574</v>
      </c>
      <c r="S3">
        <v>37.208583000000004</v>
      </c>
      <c r="T3">
        <v>64.148682999999963</v>
      </c>
      <c r="U3">
        <v>160.56566100000001</v>
      </c>
      <c r="V3" s="3">
        <f t="shared" ref="V3:V31" si="0">B3+J3+E3+F3</f>
        <v>5877.1536189999997</v>
      </c>
      <c r="W3" s="3">
        <f t="shared" ref="W3:W31" si="1">C3+D3+SUM(G3:U3)-J3</f>
        <v>5877.1536190000006</v>
      </c>
      <c r="X3" s="3">
        <f t="shared" ref="X3:X31" si="2">V3-W3</f>
        <v>0</v>
      </c>
    </row>
    <row r="4" spans="1:24" x14ac:dyDescent="0.15">
      <c r="A4" s="1" t="s">
        <v>2</v>
      </c>
      <c r="B4">
        <v>412.52895099999995</v>
      </c>
      <c r="C4">
        <v>785.17331930839998</v>
      </c>
      <c r="D4">
        <v>24.248710000000003</v>
      </c>
      <c r="E4">
        <v>2192.1173088589539</v>
      </c>
      <c r="F4">
        <v>8.7136700000000005</v>
      </c>
      <c r="G4">
        <v>0</v>
      </c>
      <c r="H4">
        <v>9.3254400000000004</v>
      </c>
      <c r="J4">
        <v>5248.9306720000004</v>
      </c>
      <c r="L4">
        <v>4.0315528</v>
      </c>
      <c r="N4">
        <v>47.910173</v>
      </c>
      <c r="O4">
        <v>5637.7212877705542</v>
      </c>
      <c r="P4">
        <v>142.31929700000001</v>
      </c>
      <c r="Q4">
        <v>625.95510149999996</v>
      </c>
      <c r="R4">
        <v>30.231859839999998</v>
      </c>
      <c r="S4">
        <v>56.734984520000005</v>
      </c>
      <c r="T4">
        <v>52.773773120000307</v>
      </c>
      <c r="U4">
        <v>445.86510300000003</v>
      </c>
      <c r="V4" s="3">
        <f t="shared" si="0"/>
        <v>7862.2906018589547</v>
      </c>
      <c r="W4" s="3">
        <f t="shared" si="1"/>
        <v>7862.2906018589547</v>
      </c>
      <c r="X4" s="3">
        <f t="shared" si="2"/>
        <v>0</v>
      </c>
    </row>
    <row r="5" spans="1:24" x14ac:dyDescent="0.15">
      <c r="A5" s="1" t="s">
        <v>3</v>
      </c>
      <c r="B5">
        <v>738.17944300000022</v>
      </c>
      <c r="C5">
        <v>7499.3599020000011</v>
      </c>
      <c r="D5">
        <v>0</v>
      </c>
      <c r="E5">
        <v>677.00273700000014</v>
      </c>
      <c r="F5">
        <v>0</v>
      </c>
      <c r="G5">
        <v>0</v>
      </c>
      <c r="H5">
        <v>0</v>
      </c>
      <c r="J5">
        <v>10005.147390000002</v>
      </c>
      <c r="L5">
        <v>0</v>
      </c>
      <c r="N5">
        <v>75.141677999999999</v>
      </c>
      <c r="O5">
        <v>2722.7069260000007</v>
      </c>
      <c r="P5">
        <v>24.61899</v>
      </c>
      <c r="Q5">
        <v>328.59252900000001</v>
      </c>
      <c r="R5">
        <v>59.063064000000004</v>
      </c>
      <c r="S5">
        <v>32.218707999999999</v>
      </c>
      <c r="T5">
        <v>26.986735999999869</v>
      </c>
      <c r="U5">
        <v>651.64103699999987</v>
      </c>
      <c r="V5" s="3">
        <f t="shared" si="0"/>
        <v>11420.329570000004</v>
      </c>
      <c r="W5" s="3">
        <f t="shared" si="1"/>
        <v>11420.329570000002</v>
      </c>
      <c r="X5" s="3">
        <f t="shared" si="2"/>
        <v>0</v>
      </c>
    </row>
    <row r="6" spans="1:24" x14ac:dyDescent="0.15">
      <c r="A6" s="1" t="s">
        <v>4</v>
      </c>
      <c r="B6">
        <v>396.918632</v>
      </c>
      <c r="C6">
        <v>267.6826855557</v>
      </c>
      <c r="D6">
        <v>0</v>
      </c>
      <c r="E6">
        <v>1064.5615137715999</v>
      </c>
      <c r="F6">
        <v>13.854641999999998</v>
      </c>
      <c r="G6">
        <v>0</v>
      </c>
      <c r="H6">
        <v>0</v>
      </c>
      <c r="J6">
        <v>1671.2929847256</v>
      </c>
      <c r="L6">
        <v>0.92067737760000001</v>
      </c>
      <c r="N6">
        <v>117.93104200000001</v>
      </c>
      <c r="O6">
        <v>1553.0747442600002</v>
      </c>
      <c r="P6">
        <v>39.259</v>
      </c>
      <c r="Q6">
        <v>705.83944110000004</v>
      </c>
      <c r="R6">
        <v>128.176489</v>
      </c>
      <c r="S6">
        <v>73.719240999999997</v>
      </c>
      <c r="T6">
        <v>34.519844999999819</v>
      </c>
      <c r="U6">
        <v>225.50460720389998</v>
      </c>
      <c r="V6" s="3">
        <f t="shared" si="0"/>
        <v>3146.6277724971997</v>
      </c>
      <c r="W6" s="3">
        <f t="shared" si="1"/>
        <v>3146.6277724972006</v>
      </c>
      <c r="X6" s="3">
        <f t="shared" si="2"/>
        <v>0</v>
      </c>
    </row>
    <row r="7" spans="1:24" x14ac:dyDescent="0.15">
      <c r="A7" s="2" t="s">
        <v>5</v>
      </c>
      <c r="B7">
        <v>218.45572500000006</v>
      </c>
      <c r="C7">
        <v>4493.6342100000002</v>
      </c>
      <c r="D7">
        <v>519.29244100000005</v>
      </c>
      <c r="E7">
        <v>997.92082900000014</v>
      </c>
      <c r="F7">
        <v>85.793403000000012</v>
      </c>
      <c r="G7">
        <v>0</v>
      </c>
      <c r="H7">
        <v>615.08076600000004</v>
      </c>
      <c r="J7">
        <v>8690.6911249999994</v>
      </c>
      <c r="L7">
        <v>79.617165</v>
      </c>
      <c r="N7">
        <v>138.89679100000001</v>
      </c>
      <c r="O7">
        <v>2473.424497</v>
      </c>
      <c r="P7">
        <v>27.947599000000004</v>
      </c>
      <c r="Q7">
        <v>1278.629754</v>
      </c>
      <c r="R7">
        <v>8.7425999999999995</v>
      </c>
      <c r="S7">
        <v>65.648119000000008</v>
      </c>
      <c r="T7">
        <v>1.427258000000067</v>
      </c>
      <c r="U7">
        <v>290.51988199999994</v>
      </c>
      <c r="V7" s="3">
        <f t="shared" si="0"/>
        <v>9992.8610819999994</v>
      </c>
      <c r="W7" s="3">
        <f t="shared" si="1"/>
        <v>9992.8610819999976</v>
      </c>
      <c r="X7" s="3">
        <f t="shared" si="2"/>
        <v>0</v>
      </c>
    </row>
    <row r="8" spans="1:24" x14ac:dyDescent="0.15">
      <c r="A8" s="1" t="s">
        <v>6</v>
      </c>
      <c r="B8">
        <v>30.520288999999988</v>
      </c>
      <c r="C8">
        <v>6.5540000000000003</v>
      </c>
      <c r="D8">
        <v>1.298964</v>
      </c>
      <c r="E8">
        <v>278.24242899999996</v>
      </c>
      <c r="F8">
        <v>0.38256400000000002</v>
      </c>
      <c r="G8">
        <v>0</v>
      </c>
      <c r="H8">
        <v>-72.95214</v>
      </c>
      <c r="J8">
        <v>1124.2764529999999</v>
      </c>
      <c r="L8">
        <v>2.5324420000000001</v>
      </c>
      <c r="N8">
        <v>134.150598</v>
      </c>
      <c r="O8">
        <v>709.59138299999995</v>
      </c>
      <c r="P8">
        <v>33.254619000000005</v>
      </c>
      <c r="Q8">
        <v>294.61320699999999</v>
      </c>
      <c r="R8">
        <v>72.873845000000003</v>
      </c>
      <c r="S8">
        <v>131.844539</v>
      </c>
      <c r="T8">
        <v>87.857618999999943</v>
      </c>
      <c r="U8">
        <v>31.802658999999998</v>
      </c>
      <c r="V8" s="3">
        <f t="shared" si="0"/>
        <v>1433.4217349999999</v>
      </c>
      <c r="W8" s="3">
        <f t="shared" si="1"/>
        <v>1433.4217349999999</v>
      </c>
      <c r="X8" s="3">
        <f t="shared" si="2"/>
        <v>0</v>
      </c>
    </row>
    <row r="9" spans="1:24" x14ac:dyDescent="0.15">
      <c r="A9" s="1" t="s">
        <v>7</v>
      </c>
      <c r="B9">
        <v>51.566126999999966</v>
      </c>
      <c r="C9">
        <v>845.52481399999999</v>
      </c>
      <c r="D9">
        <v>0</v>
      </c>
      <c r="E9">
        <v>204.00043395799997</v>
      </c>
      <c r="F9">
        <v>0</v>
      </c>
      <c r="G9">
        <v>0</v>
      </c>
      <c r="H9">
        <v>44.324982000000006</v>
      </c>
      <c r="J9">
        <v>2500.9374319999997</v>
      </c>
      <c r="L9">
        <v>68.242048999999994</v>
      </c>
      <c r="N9">
        <v>238.62926700000003</v>
      </c>
      <c r="O9">
        <v>591.90547295800002</v>
      </c>
      <c r="P9">
        <v>0</v>
      </c>
      <c r="Q9">
        <v>413.1902</v>
      </c>
      <c r="R9">
        <v>270.28965900000003</v>
      </c>
      <c r="S9">
        <v>67.654972000000001</v>
      </c>
      <c r="T9">
        <v>188.88082199999997</v>
      </c>
      <c r="U9">
        <v>27.861755000000002</v>
      </c>
      <c r="V9" s="3">
        <f t="shared" si="0"/>
        <v>2756.5039929579998</v>
      </c>
      <c r="W9" s="3">
        <f t="shared" si="1"/>
        <v>2756.5039929580007</v>
      </c>
      <c r="X9" s="3">
        <f t="shared" si="2"/>
        <v>0</v>
      </c>
    </row>
    <row r="10" spans="1:24" x14ac:dyDescent="0.15">
      <c r="A10" s="1" t="s">
        <v>8</v>
      </c>
      <c r="B10">
        <v>126.45706799999998</v>
      </c>
      <c r="C10">
        <v>4504.3614380000008</v>
      </c>
      <c r="D10">
        <v>209.39493400000001</v>
      </c>
      <c r="E10">
        <v>4911.3915396215571</v>
      </c>
      <c r="F10">
        <v>1296.0352660000001</v>
      </c>
      <c r="G10">
        <v>0</v>
      </c>
      <c r="H10">
        <v>48.538434000000002</v>
      </c>
      <c r="J10">
        <v>3013.557593</v>
      </c>
      <c r="L10">
        <v>116.49887799999999</v>
      </c>
      <c r="N10">
        <v>58.381309000000002</v>
      </c>
      <c r="O10">
        <v>1833.3902256915567</v>
      </c>
      <c r="P10">
        <v>110.24442000000001</v>
      </c>
      <c r="Q10">
        <v>1752.996226</v>
      </c>
      <c r="R10">
        <v>162.93456</v>
      </c>
      <c r="S10">
        <v>231.44938400000001</v>
      </c>
      <c r="T10">
        <v>176.95656293000019</v>
      </c>
      <c r="U10">
        <v>142.29509499999998</v>
      </c>
      <c r="V10" s="3">
        <f t="shared" si="0"/>
        <v>9347.441466621558</v>
      </c>
      <c r="W10" s="3">
        <f t="shared" si="1"/>
        <v>9347.441466621558</v>
      </c>
      <c r="X10" s="3">
        <f t="shared" si="2"/>
        <v>0</v>
      </c>
    </row>
    <row r="11" spans="1:24" x14ac:dyDescent="0.15">
      <c r="A11" s="1" t="s">
        <v>9</v>
      </c>
      <c r="B11">
        <v>156.88485999999995</v>
      </c>
      <c r="C11">
        <v>1162.0497769999999</v>
      </c>
      <c r="D11">
        <v>22.866761</v>
      </c>
      <c r="E11">
        <v>1768.8905140000002</v>
      </c>
      <c r="F11">
        <v>48.120571999999996</v>
      </c>
      <c r="G11">
        <v>0</v>
      </c>
      <c r="H11">
        <v>0.23313600000000001</v>
      </c>
      <c r="J11">
        <v>4080.1321550000002</v>
      </c>
      <c r="L11">
        <v>16.26971</v>
      </c>
      <c r="N11">
        <v>206.66900800000002</v>
      </c>
      <c r="O11">
        <v>3189.8549960000005</v>
      </c>
      <c r="P11">
        <v>134.29235599999998</v>
      </c>
      <c r="Q11">
        <v>952.29018400000007</v>
      </c>
      <c r="R11">
        <v>10.288842000000001</v>
      </c>
      <c r="S11">
        <v>20.957252</v>
      </c>
      <c r="T11">
        <v>183.81512499999997</v>
      </c>
      <c r="U11">
        <v>154.44095399999998</v>
      </c>
      <c r="V11" s="3">
        <f t="shared" si="0"/>
        <v>6054.0281009999999</v>
      </c>
      <c r="W11" s="3">
        <f t="shared" si="1"/>
        <v>6054.0281009999972</v>
      </c>
      <c r="X11" s="3">
        <f t="shared" si="2"/>
        <v>0</v>
      </c>
    </row>
    <row r="12" spans="1:24" x14ac:dyDescent="0.15">
      <c r="A12" s="1" t="s">
        <v>10</v>
      </c>
      <c r="B12">
        <v>166.25838973999996</v>
      </c>
      <c r="C12">
        <v>2847.83630339</v>
      </c>
      <c r="D12">
        <v>93.437670000000011</v>
      </c>
      <c r="E12">
        <v>2586.0623948000002</v>
      </c>
      <c r="F12">
        <v>119.40725361000003</v>
      </c>
      <c r="G12">
        <v>0</v>
      </c>
      <c r="H12">
        <v>0</v>
      </c>
      <c r="J12">
        <v>3061.85607983</v>
      </c>
      <c r="L12">
        <v>82.15038546000001</v>
      </c>
      <c r="N12">
        <v>295.27927229000005</v>
      </c>
      <c r="O12">
        <v>1095.5499149499999</v>
      </c>
      <c r="P12">
        <v>150.33870000000002</v>
      </c>
      <c r="Q12">
        <v>900.62367798000002</v>
      </c>
      <c r="R12">
        <v>43.799100000000003</v>
      </c>
      <c r="S12">
        <v>67.42710000000001</v>
      </c>
      <c r="T12">
        <v>149.91120000000001</v>
      </c>
      <c r="U12">
        <v>207.23079391000002</v>
      </c>
      <c r="V12" s="3">
        <f t="shared" si="0"/>
        <v>5933.58411798</v>
      </c>
      <c r="W12" s="3">
        <f t="shared" si="1"/>
        <v>5933.5841179799991</v>
      </c>
      <c r="X12" s="3">
        <f t="shared" si="2"/>
        <v>0</v>
      </c>
    </row>
    <row r="13" spans="1:24" x14ac:dyDescent="0.15">
      <c r="A13" s="1" t="s">
        <v>11</v>
      </c>
      <c r="B13">
        <v>157.72666999999998</v>
      </c>
      <c r="C13">
        <v>218.31189858720612</v>
      </c>
      <c r="D13">
        <v>0</v>
      </c>
      <c r="E13">
        <v>467.54492598048239</v>
      </c>
      <c r="F13">
        <v>6.7557740000000006</v>
      </c>
      <c r="G13">
        <v>0</v>
      </c>
      <c r="H13">
        <v>-32.672276000000004</v>
      </c>
      <c r="J13">
        <v>1203.4766944799999</v>
      </c>
      <c r="L13">
        <v>5.8284000000000002E-2</v>
      </c>
      <c r="N13">
        <v>93.356705000000005</v>
      </c>
      <c r="O13">
        <v>1017.3356033681046</v>
      </c>
      <c r="P13">
        <v>21.97805</v>
      </c>
      <c r="Q13">
        <v>375.22014200000001</v>
      </c>
      <c r="R13">
        <v>2.1856499999999999</v>
      </c>
      <c r="S13">
        <v>0</v>
      </c>
      <c r="T13">
        <v>13.242600000000021</v>
      </c>
      <c r="U13">
        <v>126.48750600000001</v>
      </c>
      <c r="V13" s="3">
        <f t="shared" si="0"/>
        <v>1835.5040644604821</v>
      </c>
      <c r="W13" s="3">
        <f t="shared" si="1"/>
        <v>1835.5041629553107</v>
      </c>
      <c r="X13" s="3">
        <f t="shared" si="2"/>
        <v>-9.8494828534967382E-5</v>
      </c>
    </row>
    <row r="14" spans="1:24" x14ac:dyDescent="0.15">
      <c r="A14" s="1" t="s">
        <v>12</v>
      </c>
      <c r="B14">
        <v>24.836739000000009</v>
      </c>
      <c r="C14">
        <v>15.076128000000001</v>
      </c>
      <c r="D14">
        <v>0</v>
      </c>
      <c r="E14">
        <v>1225.4007980000001</v>
      </c>
      <c r="F14">
        <v>0</v>
      </c>
      <c r="G14">
        <v>0</v>
      </c>
      <c r="H14">
        <v>0</v>
      </c>
      <c r="J14">
        <v>549.43763200000001</v>
      </c>
      <c r="L14">
        <v>5.4180270000000004</v>
      </c>
      <c r="N14">
        <v>207.24644500000002</v>
      </c>
      <c r="O14">
        <v>871.23650100000009</v>
      </c>
      <c r="P14">
        <v>21.978200000000001</v>
      </c>
      <c r="Q14">
        <v>449.77364499999999</v>
      </c>
      <c r="R14">
        <v>39.808512999999998</v>
      </c>
      <c r="S14">
        <v>126.195612</v>
      </c>
      <c r="T14">
        <v>44.496356000000006</v>
      </c>
      <c r="U14">
        <v>18.445741999999999</v>
      </c>
      <c r="V14" s="3">
        <f t="shared" si="0"/>
        <v>1799.6751690000001</v>
      </c>
      <c r="W14" s="3">
        <f t="shared" si="1"/>
        <v>1799.6751690000001</v>
      </c>
      <c r="X14" s="3">
        <f t="shared" si="2"/>
        <v>0</v>
      </c>
    </row>
    <row r="15" spans="1:24" x14ac:dyDescent="0.15">
      <c r="A15" s="1" t="s">
        <v>13</v>
      </c>
      <c r="B15">
        <v>48.233532000000039</v>
      </c>
      <c r="C15">
        <v>490.69024800000011</v>
      </c>
      <c r="D15">
        <v>0</v>
      </c>
      <c r="E15">
        <v>734.97319500000003</v>
      </c>
      <c r="F15">
        <v>0</v>
      </c>
      <c r="G15">
        <v>0</v>
      </c>
      <c r="H15">
        <v>-97.858835999999997</v>
      </c>
      <c r="J15">
        <v>933.35524599999985</v>
      </c>
      <c r="L15">
        <v>4.8868799999999997</v>
      </c>
      <c r="N15">
        <v>90.411699999999996</v>
      </c>
      <c r="O15">
        <v>744.63137500000016</v>
      </c>
      <c r="P15">
        <v>17.990646999999999</v>
      </c>
      <c r="Q15">
        <v>332.367144</v>
      </c>
      <c r="R15">
        <v>10.097828000000002</v>
      </c>
      <c r="S15">
        <v>29.491073000000004</v>
      </c>
      <c r="T15">
        <v>31.425400000000053</v>
      </c>
      <c r="U15">
        <v>62.428514</v>
      </c>
      <c r="V15" s="3">
        <f t="shared" si="0"/>
        <v>1716.5619729999999</v>
      </c>
      <c r="W15" s="3">
        <f t="shared" si="1"/>
        <v>1716.561973000001</v>
      </c>
      <c r="X15" s="3">
        <f t="shared" si="2"/>
        <v>0</v>
      </c>
    </row>
    <row r="16" spans="1:24" x14ac:dyDescent="0.15">
      <c r="A16" s="1" t="s">
        <v>14</v>
      </c>
      <c r="B16">
        <v>502.06510899999989</v>
      </c>
      <c r="C16">
        <v>1692.5726071322993</v>
      </c>
      <c r="D16">
        <v>0</v>
      </c>
      <c r="E16">
        <v>738.03650414980007</v>
      </c>
      <c r="F16">
        <v>0</v>
      </c>
      <c r="G16">
        <v>0</v>
      </c>
      <c r="H16">
        <v>0</v>
      </c>
      <c r="J16">
        <v>7480.7812356703998</v>
      </c>
      <c r="L16">
        <v>59.067810591900006</v>
      </c>
      <c r="N16">
        <v>409.43682000000001</v>
      </c>
      <c r="O16">
        <v>3599.7556354201997</v>
      </c>
      <c r="P16">
        <v>414.49699999999996</v>
      </c>
      <c r="Q16">
        <v>1887.3756560000002</v>
      </c>
      <c r="R16">
        <v>158.54098000000002</v>
      </c>
      <c r="S16">
        <v>188.40362999999999</v>
      </c>
      <c r="T16">
        <v>18.681332697600538</v>
      </c>
      <c r="U16">
        <v>292.55137697819993</v>
      </c>
      <c r="V16" s="3">
        <f t="shared" si="0"/>
        <v>8720.8828488201998</v>
      </c>
      <c r="W16" s="3">
        <f t="shared" si="1"/>
        <v>8720.882848820198</v>
      </c>
      <c r="X16" s="3">
        <f t="shared" si="2"/>
        <v>0</v>
      </c>
    </row>
    <row r="17" spans="1:24" x14ac:dyDescent="0.15">
      <c r="A17" s="1" t="s">
        <v>15</v>
      </c>
      <c r="B17">
        <v>164.00630099999992</v>
      </c>
      <c r="C17">
        <v>927.02793099999985</v>
      </c>
      <c r="D17">
        <v>0</v>
      </c>
      <c r="E17">
        <v>793.21686799999998</v>
      </c>
      <c r="F17">
        <v>0</v>
      </c>
      <c r="G17">
        <v>0</v>
      </c>
      <c r="H17">
        <v>0</v>
      </c>
      <c r="J17">
        <v>2857.8879119999997</v>
      </c>
      <c r="L17">
        <v>7.181616</v>
      </c>
      <c r="N17">
        <v>149.32198199999999</v>
      </c>
      <c r="O17">
        <v>1861.6168640000001</v>
      </c>
      <c r="P17">
        <v>37.693899999999999</v>
      </c>
      <c r="Q17">
        <v>620.68737400000009</v>
      </c>
      <c r="R17">
        <v>17.982991999999999</v>
      </c>
      <c r="S17">
        <v>20.542400000000001</v>
      </c>
      <c r="T17">
        <v>5.4821730000000262</v>
      </c>
      <c r="U17">
        <v>167.573849</v>
      </c>
      <c r="V17" s="3">
        <f t="shared" si="0"/>
        <v>3815.1110809999996</v>
      </c>
      <c r="W17" s="3">
        <f t="shared" si="1"/>
        <v>3815.1110810000005</v>
      </c>
      <c r="X17" s="3">
        <f t="shared" si="2"/>
        <v>0</v>
      </c>
    </row>
    <row r="18" spans="1:24" x14ac:dyDescent="0.15">
      <c r="A18" s="1" t="s">
        <v>16</v>
      </c>
      <c r="B18">
        <v>136.93003999999999</v>
      </c>
      <c r="C18">
        <v>0</v>
      </c>
      <c r="D18">
        <v>0</v>
      </c>
      <c r="E18">
        <v>1155.3533130000001</v>
      </c>
      <c r="F18">
        <v>0</v>
      </c>
      <c r="G18">
        <v>0</v>
      </c>
      <c r="H18">
        <v>0</v>
      </c>
      <c r="J18">
        <v>1802.968042</v>
      </c>
      <c r="L18">
        <v>23.279001999999998</v>
      </c>
      <c r="N18">
        <v>220.60204900000002</v>
      </c>
      <c r="O18">
        <v>1445.5929779999999</v>
      </c>
      <c r="P18">
        <v>90.050795999999991</v>
      </c>
      <c r="Q18">
        <v>952.34559100000001</v>
      </c>
      <c r="R18">
        <v>62.686458000000002</v>
      </c>
      <c r="S18">
        <v>86.812600000000003</v>
      </c>
      <c r="T18">
        <v>106.69681399999995</v>
      </c>
      <c r="U18">
        <v>107.18510700000002</v>
      </c>
      <c r="V18" s="3">
        <f t="shared" si="0"/>
        <v>3095.2513950000002</v>
      </c>
      <c r="W18" s="3">
        <f t="shared" si="1"/>
        <v>3095.2513950000007</v>
      </c>
      <c r="X18" s="3">
        <f t="shared" si="2"/>
        <v>0</v>
      </c>
    </row>
    <row r="19" spans="1:24" x14ac:dyDescent="0.15">
      <c r="A19" s="1" t="s">
        <v>17</v>
      </c>
      <c r="B19">
        <v>74.310876999999991</v>
      </c>
      <c r="C19">
        <v>292.99871700000006</v>
      </c>
      <c r="D19">
        <v>0</v>
      </c>
      <c r="E19">
        <v>1185.745629</v>
      </c>
      <c r="F19">
        <v>0</v>
      </c>
      <c r="G19">
        <v>0</v>
      </c>
      <c r="H19">
        <v>189.78241800000001</v>
      </c>
      <c r="J19">
        <v>1196.3217080000002</v>
      </c>
      <c r="L19">
        <v>15.419876000000002</v>
      </c>
      <c r="N19">
        <v>22.147759000000001</v>
      </c>
      <c r="O19">
        <v>975.02357599999982</v>
      </c>
      <c r="P19">
        <v>92.661940000000016</v>
      </c>
      <c r="Q19">
        <v>660.59917400000006</v>
      </c>
      <c r="R19">
        <v>111.727784</v>
      </c>
      <c r="S19">
        <v>2.6640769999999998</v>
      </c>
      <c r="T19">
        <v>19.746187999999886</v>
      </c>
      <c r="U19">
        <v>73.606705000000005</v>
      </c>
      <c r="V19" s="3">
        <f t="shared" si="0"/>
        <v>2456.3782140000003</v>
      </c>
      <c r="W19" s="3">
        <f t="shared" si="1"/>
        <v>2456.3782140000003</v>
      </c>
      <c r="X19" s="3">
        <f t="shared" si="2"/>
        <v>0</v>
      </c>
    </row>
    <row r="20" spans="1:24" x14ac:dyDescent="0.15">
      <c r="A20" s="1" t="s">
        <v>18</v>
      </c>
      <c r="B20">
        <v>334.58443799999975</v>
      </c>
      <c r="C20">
        <v>2433.0714626777749</v>
      </c>
      <c r="D20">
        <v>322.34699699999999</v>
      </c>
      <c r="E20">
        <v>4678.7905473987939</v>
      </c>
      <c r="F20">
        <v>1223.242428</v>
      </c>
      <c r="G20">
        <v>0</v>
      </c>
      <c r="H20">
        <v>17.048070000000003</v>
      </c>
      <c r="J20">
        <v>3825.0937760000002</v>
      </c>
      <c r="L20">
        <v>803.31342500000005</v>
      </c>
      <c r="N20">
        <v>144.20800500000001</v>
      </c>
      <c r="O20">
        <v>3273.1341777210191</v>
      </c>
      <c r="P20">
        <v>78.956077999999991</v>
      </c>
      <c r="Q20">
        <v>1995.5482900000002</v>
      </c>
      <c r="R20">
        <v>248.51701000000003</v>
      </c>
      <c r="S20">
        <v>79.56528200000001</v>
      </c>
      <c r="T20">
        <v>293.21372100000008</v>
      </c>
      <c r="U20">
        <v>372.78867099999997</v>
      </c>
      <c r="V20" s="3">
        <f t="shared" si="0"/>
        <v>10061.711189398793</v>
      </c>
      <c r="W20" s="3">
        <f t="shared" si="1"/>
        <v>10061.711189398795</v>
      </c>
      <c r="X20" s="3">
        <f t="shared" si="2"/>
        <v>0</v>
      </c>
    </row>
    <row r="21" spans="1:24" x14ac:dyDescent="0.15">
      <c r="A21" s="1" t="s">
        <v>19</v>
      </c>
      <c r="B21">
        <v>59.744641539199975</v>
      </c>
      <c r="C21">
        <v>94.141514000000015</v>
      </c>
      <c r="D21">
        <v>7.7226299999999997</v>
      </c>
      <c r="E21">
        <v>1038.8984055208</v>
      </c>
      <c r="F21">
        <v>0</v>
      </c>
      <c r="G21">
        <v>0</v>
      </c>
      <c r="H21">
        <v>0</v>
      </c>
      <c r="J21">
        <v>458.19883800000002</v>
      </c>
      <c r="L21">
        <v>5.3825279400000001</v>
      </c>
      <c r="N21">
        <v>30.717918000000001</v>
      </c>
      <c r="O21">
        <v>597.4430510000002</v>
      </c>
      <c r="P21">
        <v>27.976838999999998</v>
      </c>
      <c r="Q21">
        <v>553.65212199999996</v>
      </c>
      <c r="R21">
        <v>32.833198199999998</v>
      </c>
      <c r="S21">
        <v>57.405675000000002</v>
      </c>
      <c r="T21">
        <v>92.418633999999983</v>
      </c>
      <c r="U21">
        <v>57.147775920000001</v>
      </c>
      <c r="V21" s="3">
        <f t="shared" si="0"/>
        <v>1556.8418850600001</v>
      </c>
      <c r="W21" s="3">
        <f t="shared" si="1"/>
        <v>1556.8418850599999</v>
      </c>
      <c r="X21" s="3">
        <f t="shared" si="2"/>
        <v>0</v>
      </c>
    </row>
    <row r="22" spans="1:24" x14ac:dyDescent="0.15">
      <c r="A22" s="1" t="s">
        <v>20</v>
      </c>
      <c r="B22">
        <v>0</v>
      </c>
      <c r="C22">
        <v>929.93473108000001</v>
      </c>
      <c r="D22">
        <v>112.83125</v>
      </c>
      <c r="E22">
        <v>161.22436300000001</v>
      </c>
      <c r="F22">
        <v>205.33003800000003</v>
      </c>
      <c r="G22">
        <v>0</v>
      </c>
      <c r="H22">
        <v>0</v>
      </c>
      <c r="J22">
        <v>1038.63524908</v>
      </c>
      <c r="L22">
        <v>2.9445900000000003</v>
      </c>
      <c r="N22">
        <v>36.910390000000007</v>
      </c>
      <c r="O22">
        <v>94.66512800000001</v>
      </c>
      <c r="P22">
        <v>11.265430000000002</v>
      </c>
      <c r="Q22">
        <v>160.08946000000003</v>
      </c>
      <c r="R22">
        <v>10.496915000000001</v>
      </c>
      <c r="S22">
        <v>19.092449999999999</v>
      </c>
      <c r="T22">
        <v>11.150899999999989</v>
      </c>
      <c r="U22">
        <v>15.808406000000002</v>
      </c>
      <c r="V22" s="3">
        <f t="shared" si="0"/>
        <v>1405.1896500800001</v>
      </c>
      <c r="W22" s="3">
        <f t="shared" si="1"/>
        <v>1405.1896500800003</v>
      </c>
      <c r="X22" s="3">
        <f t="shared" si="2"/>
        <v>0</v>
      </c>
    </row>
    <row r="23" spans="1:24" x14ac:dyDescent="0.15">
      <c r="A23" s="1" t="s">
        <v>21</v>
      </c>
      <c r="B23">
        <v>35.624758000000007</v>
      </c>
      <c r="C23">
        <v>0</v>
      </c>
      <c r="D23">
        <v>0</v>
      </c>
      <c r="E23">
        <v>546.89414499999998</v>
      </c>
      <c r="F23">
        <v>0</v>
      </c>
      <c r="G23">
        <v>0</v>
      </c>
      <c r="H23">
        <v>0</v>
      </c>
      <c r="J23">
        <v>288.60452800000002</v>
      </c>
      <c r="L23">
        <v>3.7412210000000004</v>
      </c>
      <c r="N23">
        <v>39.562046000000002</v>
      </c>
      <c r="O23">
        <v>355.67708299999998</v>
      </c>
      <c r="P23">
        <v>22.766106000000001</v>
      </c>
      <c r="Q23">
        <v>397.63350100000002</v>
      </c>
      <c r="R23">
        <v>18.419166000000001</v>
      </c>
      <c r="S23">
        <v>10.190652999999999</v>
      </c>
      <c r="T23">
        <v>9.4151990000000261</v>
      </c>
      <c r="U23">
        <v>13.718456</v>
      </c>
      <c r="V23" s="3">
        <f t="shared" si="0"/>
        <v>871.12343099999998</v>
      </c>
      <c r="W23" s="3">
        <f t="shared" si="1"/>
        <v>871.12343099999998</v>
      </c>
      <c r="X23" s="3">
        <f t="shared" si="2"/>
        <v>0</v>
      </c>
    </row>
    <row r="24" spans="1:24" x14ac:dyDescent="0.15">
      <c r="A24" s="1" t="s">
        <v>22</v>
      </c>
      <c r="B24">
        <v>0</v>
      </c>
      <c r="C24">
        <v>26.925013999999997</v>
      </c>
      <c r="D24">
        <v>2.7220900000000001</v>
      </c>
      <c r="E24">
        <v>1212.3140959999998</v>
      </c>
      <c r="F24">
        <v>10.535224000000001</v>
      </c>
      <c r="G24">
        <v>0</v>
      </c>
      <c r="H24">
        <v>0</v>
      </c>
      <c r="J24">
        <v>1304.6522880000002</v>
      </c>
      <c r="L24">
        <v>3.0440960000000006</v>
      </c>
      <c r="N24">
        <v>156.50490500000001</v>
      </c>
      <c r="O24">
        <v>1291.0138910000001</v>
      </c>
      <c r="P24">
        <v>79.143172000000007</v>
      </c>
      <c r="Q24">
        <v>732.33807200000001</v>
      </c>
      <c r="R24">
        <v>99.192365999999993</v>
      </c>
      <c r="S24">
        <v>102.84575800000002</v>
      </c>
      <c r="T24">
        <v>16.724321000000234</v>
      </c>
      <c r="U24">
        <v>17.047923000000004</v>
      </c>
      <c r="V24" s="3">
        <f t="shared" si="0"/>
        <v>2527.5016080000005</v>
      </c>
      <c r="W24" s="3">
        <f t="shared" si="1"/>
        <v>2527.501608</v>
      </c>
      <c r="X24" s="3">
        <f t="shared" si="2"/>
        <v>0</v>
      </c>
    </row>
    <row r="25" spans="1:24" x14ac:dyDescent="0.15">
      <c r="A25" s="1" t="s">
        <v>23</v>
      </c>
      <c r="B25">
        <v>42.946090999999974</v>
      </c>
      <c r="C25">
        <v>338.50477599999999</v>
      </c>
      <c r="D25">
        <v>0</v>
      </c>
      <c r="E25">
        <v>501.82709199999999</v>
      </c>
      <c r="F25">
        <v>0</v>
      </c>
      <c r="G25">
        <v>0</v>
      </c>
      <c r="H25">
        <v>0</v>
      </c>
      <c r="J25">
        <v>819.51978799999995</v>
      </c>
      <c r="L25">
        <v>0</v>
      </c>
      <c r="N25">
        <v>41.823375999999996</v>
      </c>
      <c r="O25">
        <v>544.55121599999995</v>
      </c>
      <c r="P25">
        <v>14.346458999999999</v>
      </c>
      <c r="Q25">
        <v>297.55584000000005</v>
      </c>
      <c r="R25">
        <v>17.877962</v>
      </c>
      <c r="S25">
        <v>67.034200999999996</v>
      </c>
      <c r="T25">
        <v>2.3285099999999779</v>
      </c>
      <c r="U25">
        <v>40.270631000000002</v>
      </c>
      <c r="V25" s="3">
        <f t="shared" si="0"/>
        <v>1364.2929709999999</v>
      </c>
      <c r="W25" s="3">
        <f t="shared" si="1"/>
        <v>1364.2929709999999</v>
      </c>
      <c r="X25" s="3">
        <f t="shared" si="2"/>
        <v>0</v>
      </c>
    </row>
    <row r="26" spans="1:24" x14ac:dyDescent="0.15">
      <c r="A26" s="1" t="s">
        <v>24</v>
      </c>
      <c r="B26">
        <v>128.50492445000006</v>
      </c>
      <c r="C26">
        <v>124.80521365</v>
      </c>
      <c r="D26">
        <v>0.51498999999999995</v>
      </c>
      <c r="E26">
        <v>1163.9542615737025</v>
      </c>
      <c r="F26">
        <v>0.51498999999999995</v>
      </c>
      <c r="G26">
        <v>0</v>
      </c>
      <c r="H26">
        <v>90.532634340000001</v>
      </c>
      <c r="J26">
        <v>1208.0068726716001</v>
      </c>
      <c r="L26">
        <v>5.4251854595999998</v>
      </c>
      <c r="N26">
        <v>34.041915799999998</v>
      </c>
      <c r="O26">
        <v>1315.7772179157025</v>
      </c>
      <c r="P26">
        <v>32.801760039999998</v>
      </c>
      <c r="Q26">
        <v>607.1992487</v>
      </c>
      <c r="R26">
        <v>22.856441289999999</v>
      </c>
      <c r="S26">
        <v>20.988453500000002</v>
      </c>
      <c r="T26">
        <v>86.946073000000169</v>
      </c>
      <c r="U26">
        <v>159.09191500000003</v>
      </c>
      <c r="V26" s="3">
        <f t="shared" si="0"/>
        <v>2500.9810486953029</v>
      </c>
      <c r="W26" s="3">
        <f t="shared" si="1"/>
        <v>2500.9810486953029</v>
      </c>
      <c r="X26" s="3">
        <f t="shared" si="2"/>
        <v>0</v>
      </c>
    </row>
    <row r="27" spans="1:24" x14ac:dyDescent="0.15">
      <c r="A27" s="1" t="s">
        <v>25</v>
      </c>
      <c r="B27">
        <v>118.29259199999997</v>
      </c>
      <c r="C27">
        <v>409.46733700000004</v>
      </c>
      <c r="D27">
        <v>481.59479399999998</v>
      </c>
      <c r="E27">
        <v>0.40634800000000004</v>
      </c>
      <c r="F27">
        <v>1.1624060000000001</v>
      </c>
      <c r="G27">
        <v>0</v>
      </c>
      <c r="H27">
        <v>0</v>
      </c>
      <c r="J27">
        <v>3222.5478020000005</v>
      </c>
      <c r="L27">
        <v>1.8068050000000004</v>
      </c>
      <c r="N27">
        <v>48.773787999999996</v>
      </c>
      <c r="O27">
        <v>490.43013500000001</v>
      </c>
      <c r="P27">
        <v>22.643830000000005</v>
      </c>
      <c r="Q27">
        <v>449.00325400000003</v>
      </c>
      <c r="R27">
        <v>63.012800000000006</v>
      </c>
      <c r="S27">
        <v>26.271467000000001</v>
      </c>
      <c r="T27">
        <v>139.71149999999997</v>
      </c>
      <c r="U27">
        <v>1209.6934379999998</v>
      </c>
      <c r="V27" s="3">
        <f t="shared" si="0"/>
        <v>3342.4091480000002</v>
      </c>
      <c r="W27" s="3">
        <f t="shared" si="1"/>
        <v>3342.4091480000002</v>
      </c>
      <c r="X27" s="3">
        <f t="shared" si="2"/>
        <v>0</v>
      </c>
    </row>
    <row r="28" spans="1:24" x14ac:dyDescent="0.15">
      <c r="A28" s="1" t="s">
        <v>26</v>
      </c>
      <c r="B28">
        <v>125.90428800000007</v>
      </c>
      <c r="C28">
        <v>1061.5359310000001</v>
      </c>
      <c r="D28">
        <v>208.08927999999997</v>
      </c>
      <c r="E28">
        <v>204.50884200000002</v>
      </c>
      <c r="F28">
        <v>0</v>
      </c>
      <c r="G28">
        <v>0</v>
      </c>
      <c r="H28">
        <v>0.34970400000000001</v>
      </c>
      <c r="J28">
        <v>2087.6877850000001</v>
      </c>
      <c r="L28">
        <v>7.3658399999999995</v>
      </c>
      <c r="N28">
        <v>40.204294000000004</v>
      </c>
      <c r="O28">
        <v>719.09346100000016</v>
      </c>
      <c r="P28">
        <v>28.186208000000001</v>
      </c>
      <c r="Q28">
        <v>186.602675</v>
      </c>
      <c r="R28">
        <v>6.9752510000000001</v>
      </c>
      <c r="S28">
        <v>10.472178</v>
      </c>
      <c r="T28">
        <v>2.938080999999984</v>
      </c>
      <c r="U28">
        <v>146.28801200000001</v>
      </c>
      <c r="V28" s="3">
        <f t="shared" si="0"/>
        <v>2418.1009150000004</v>
      </c>
      <c r="W28" s="3">
        <f t="shared" si="1"/>
        <v>2418.100915</v>
      </c>
      <c r="X28" s="3">
        <f t="shared" si="2"/>
        <v>0</v>
      </c>
    </row>
    <row r="29" spans="1:24" x14ac:dyDescent="0.15">
      <c r="A29" s="1" t="s">
        <v>27</v>
      </c>
      <c r="B29">
        <v>21.139322999999994</v>
      </c>
      <c r="C29">
        <v>31.963872396000003</v>
      </c>
      <c r="D29">
        <v>0</v>
      </c>
      <c r="E29">
        <v>56.852787730799989</v>
      </c>
      <c r="F29">
        <v>0</v>
      </c>
      <c r="G29">
        <v>0</v>
      </c>
      <c r="H29">
        <v>0</v>
      </c>
      <c r="J29">
        <v>207.61176282999998</v>
      </c>
      <c r="L29">
        <v>0.66508995199999998</v>
      </c>
      <c r="N29">
        <v>4.2548900000000005</v>
      </c>
      <c r="O29">
        <v>149.59963899999997</v>
      </c>
      <c r="P29">
        <v>6.9198249999999994</v>
      </c>
      <c r="Q29">
        <v>55.801902971400011</v>
      </c>
      <c r="R29">
        <v>3.5780609999999999</v>
      </c>
      <c r="S29">
        <v>10.310623</v>
      </c>
      <c r="T29">
        <v>0.95511997139998916</v>
      </c>
      <c r="U29">
        <v>21.554878091999996</v>
      </c>
      <c r="V29" s="3">
        <f t="shared" si="0"/>
        <v>285.60387356079997</v>
      </c>
      <c r="W29" s="3">
        <f t="shared" si="1"/>
        <v>285.60390138279996</v>
      </c>
      <c r="X29" s="3">
        <f t="shared" si="2"/>
        <v>-2.7821999992738711E-5</v>
      </c>
    </row>
    <row r="30" spans="1:24" x14ac:dyDescent="0.15">
      <c r="A30" s="1" t="s">
        <v>28</v>
      </c>
      <c r="B30">
        <v>35.326894999999993</v>
      </c>
      <c r="C30">
        <v>216.497534</v>
      </c>
      <c r="D30">
        <v>0</v>
      </c>
      <c r="E30">
        <v>53.510663999999998</v>
      </c>
      <c r="F30">
        <v>0</v>
      </c>
      <c r="G30">
        <v>0</v>
      </c>
      <c r="H30">
        <v>0</v>
      </c>
      <c r="J30">
        <v>429.59394300000002</v>
      </c>
      <c r="L30">
        <v>0</v>
      </c>
      <c r="N30">
        <v>8.0312099999999997</v>
      </c>
      <c r="O30">
        <v>121.04817899999999</v>
      </c>
      <c r="P30">
        <v>5.12845</v>
      </c>
      <c r="Q30">
        <v>115.430611</v>
      </c>
      <c r="R30">
        <v>7.3284000000000002</v>
      </c>
      <c r="S30">
        <v>7.3284000000000002</v>
      </c>
      <c r="T30">
        <v>1.9716760000000204</v>
      </c>
      <c r="U30">
        <v>35.667041999999995</v>
      </c>
      <c r="V30" s="3">
        <f t="shared" si="0"/>
        <v>518.43150200000002</v>
      </c>
      <c r="W30" s="3">
        <f t="shared" si="1"/>
        <v>518.43150199999991</v>
      </c>
      <c r="X30" s="3">
        <f t="shared" si="2"/>
        <v>0</v>
      </c>
    </row>
    <row r="31" spans="1:24" x14ac:dyDescent="0.15">
      <c r="A31" s="1" t="s">
        <v>29</v>
      </c>
      <c r="B31">
        <v>90.14469400000003</v>
      </c>
      <c r="C31">
        <v>1176.8739560000001</v>
      </c>
      <c r="D31">
        <v>55.351542999999999</v>
      </c>
      <c r="E31">
        <v>48.894475000000007</v>
      </c>
      <c r="F31">
        <v>10.444292000000001</v>
      </c>
      <c r="G31">
        <v>0</v>
      </c>
      <c r="H31">
        <v>0</v>
      </c>
      <c r="J31">
        <v>2517.4609620000001</v>
      </c>
      <c r="L31">
        <v>56.531775000000003</v>
      </c>
      <c r="N31">
        <v>105.31679400000002</v>
      </c>
      <c r="O31">
        <v>619.1872699999999</v>
      </c>
      <c r="P31">
        <v>27.532389999999999</v>
      </c>
      <c r="Q31">
        <v>376.06574200000006</v>
      </c>
      <c r="R31">
        <v>49.164372</v>
      </c>
      <c r="S31">
        <v>67.654510000000002</v>
      </c>
      <c r="T31">
        <v>23.551240000000035</v>
      </c>
      <c r="U31">
        <v>109.714831</v>
      </c>
      <c r="V31" s="3">
        <f t="shared" si="0"/>
        <v>2666.9444230000004</v>
      </c>
      <c r="W31" s="3">
        <f t="shared" si="1"/>
        <v>2666.9444229999999</v>
      </c>
      <c r="X31" s="3">
        <f t="shared" si="2"/>
        <v>0</v>
      </c>
    </row>
    <row r="32" spans="1:24" x14ac:dyDescent="0.15">
      <c r="O32">
        <f>SUM(O2:O31)</f>
        <v>41517.144422055142</v>
      </c>
    </row>
    <row r="33" spans="1:1" x14ac:dyDescent="0.15">
      <c r="A33" s="1" t="s">
        <v>49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3"/>
  <sheetViews>
    <sheetView zoomScale="70" zoomScaleNormal="70" workbookViewId="0">
      <selection activeCell="O33" sqref="O33"/>
    </sheetView>
  </sheetViews>
  <sheetFormatPr defaultRowHeight="13.5" x14ac:dyDescent="0.15"/>
  <sheetData>
    <row r="1" spans="1:24" x14ac:dyDescent="0.15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t="s">
        <v>37</v>
      </c>
      <c r="I1" t="s">
        <v>47</v>
      </c>
      <c r="J1" t="s">
        <v>36</v>
      </c>
      <c r="K1" s="19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 x14ac:dyDescent="0.15">
      <c r="A2" s="1" t="s">
        <v>0</v>
      </c>
      <c r="B2" s="3">
        <v>0</v>
      </c>
      <c r="C2">
        <v>0</v>
      </c>
      <c r="D2">
        <v>0</v>
      </c>
      <c r="E2">
        <v>620.31200000000001</v>
      </c>
      <c r="F2">
        <v>0</v>
      </c>
      <c r="G2">
        <v>0</v>
      </c>
      <c r="H2">
        <v>0</v>
      </c>
      <c r="J2">
        <v>0</v>
      </c>
      <c r="L2">
        <v>113.44900000000003</v>
      </c>
      <c r="N2">
        <v>0</v>
      </c>
      <c r="O2">
        <v>71.288000000000011</v>
      </c>
      <c r="P2">
        <v>4.6550000000000002</v>
      </c>
      <c r="Q2">
        <v>28.462000000000003</v>
      </c>
      <c r="R2">
        <v>74.347000000000008</v>
      </c>
      <c r="S2">
        <v>175.02800000000002</v>
      </c>
      <c r="T2">
        <v>153.08299999999997</v>
      </c>
      <c r="U2">
        <v>0</v>
      </c>
      <c r="V2" s="3">
        <f>B2+K2+E2+F2</f>
        <v>620.31200000000001</v>
      </c>
      <c r="W2" s="3">
        <f>C2+D2+SUM(G2:U2)-K2</f>
        <v>620.31200000000001</v>
      </c>
      <c r="X2" s="3">
        <f>V2-W2</f>
        <v>0</v>
      </c>
    </row>
    <row r="3" spans="1:24" x14ac:dyDescent="0.15">
      <c r="A3" s="1" t="s">
        <v>1</v>
      </c>
      <c r="B3">
        <v>177.422</v>
      </c>
      <c r="C3">
        <v>125.419</v>
      </c>
      <c r="D3">
        <v>0</v>
      </c>
      <c r="E3">
        <v>137.78800000000001</v>
      </c>
      <c r="F3">
        <v>0</v>
      </c>
      <c r="G3">
        <v>0</v>
      </c>
      <c r="H3">
        <v>0</v>
      </c>
      <c r="J3">
        <v>0</v>
      </c>
      <c r="L3">
        <v>10.108000000000001</v>
      </c>
      <c r="N3">
        <v>0</v>
      </c>
      <c r="O3">
        <v>92.036000000000001</v>
      </c>
      <c r="P3">
        <v>0</v>
      </c>
      <c r="Q3">
        <v>0</v>
      </c>
      <c r="R3">
        <v>34.846000000000004</v>
      </c>
      <c r="S3">
        <v>0.93100000000000016</v>
      </c>
      <c r="T3">
        <v>51.870000000000005</v>
      </c>
      <c r="U3">
        <v>0</v>
      </c>
      <c r="V3" s="3">
        <f t="shared" ref="V3:V31" si="0">B3+G3+E3+F3</f>
        <v>315.21000000000004</v>
      </c>
      <c r="W3" s="3">
        <f t="shared" ref="W3:W31" si="1">C3+D3+SUM(H3:U3)</f>
        <v>315.21000000000004</v>
      </c>
      <c r="X3" s="3">
        <f t="shared" ref="X3:X31" si="2">V3-W3</f>
        <v>0</v>
      </c>
    </row>
    <row r="4" spans="1:24" x14ac:dyDescent="0.15">
      <c r="A4" s="1" t="s">
        <v>2</v>
      </c>
      <c r="B4">
        <v>94.962000000000018</v>
      </c>
      <c r="C4">
        <v>56.392000000000003</v>
      </c>
      <c r="D4">
        <v>0</v>
      </c>
      <c r="E4">
        <v>121.70313960000001</v>
      </c>
      <c r="F4">
        <v>0</v>
      </c>
      <c r="G4">
        <v>0</v>
      </c>
      <c r="H4">
        <v>0</v>
      </c>
      <c r="J4">
        <v>0</v>
      </c>
      <c r="L4">
        <v>0</v>
      </c>
      <c r="N4">
        <v>0</v>
      </c>
      <c r="O4">
        <v>142.91663960000002</v>
      </c>
      <c r="P4">
        <v>0</v>
      </c>
      <c r="Q4">
        <v>4.6523400000000006</v>
      </c>
      <c r="R4">
        <v>2.6280800000000002</v>
      </c>
      <c r="S4">
        <v>5.3732000000000006</v>
      </c>
      <c r="T4">
        <v>4.7028799999999951</v>
      </c>
      <c r="U4">
        <v>0</v>
      </c>
      <c r="V4" s="3">
        <f t="shared" si="0"/>
        <v>216.66513960000003</v>
      </c>
      <c r="W4" s="3">
        <f t="shared" si="1"/>
        <v>216.66513960000003</v>
      </c>
      <c r="X4" s="3">
        <f t="shared" si="2"/>
        <v>0</v>
      </c>
    </row>
    <row r="5" spans="1:24" x14ac:dyDescent="0.15">
      <c r="A5" s="1" t="s">
        <v>3</v>
      </c>
      <c r="B5">
        <v>91.903000000000006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7.1820000000000013</v>
      </c>
      <c r="N5">
        <v>0</v>
      </c>
      <c r="O5">
        <v>57.45600000000001</v>
      </c>
      <c r="P5">
        <v>0</v>
      </c>
      <c r="Q5">
        <v>7.3150000000000013</v>
      </c>
      <c r="R5">
        <v>2.9260000000000002</v>
      </c>
      <c r="S5">
        <v>1.5960000000000001</v>
      </c>
      <c r="T5">
        <v>15.427999999999997</v>
      </c>
      <c r="U5">
        <v>0</v>
      </c>
      <c r="V5" s="3">
        <f t="shared" si="0"/>
        <v>91.903000000000006</v>
      </c>
      <c r="W5" s="3">
        <f t="shared" si="1"/>
        <v>91.903000000000006</v>
      </c>
      <c r="X5" s="3">
        <f t="shared" si="2"/>
        <v>0</v>
      </c>
    </row>
    <row r="6" spans="1:24" x14ac:dyDescent="0.15">
      <c r="A6" s="1" t="s">
        <v>4</v>
      </c>
      <c r="B6">
        <v>937.37868000000014</v>
      </c>
      <c r="C6">
        <v>584.82641630000012</v>
      </c>
      <c r="D6">
        <v>0</v>
      </c>
      <c r="E6">
        <v>0</v>
      </c>
      <c r="F6">
        <v>0</v>
      </c>
      <c r="G6">
        <v>0</v>
      </c>
      <c r="H6">
        <v>0</v>
      </c>
      <c r="J6">
        <v>0</v>
      </c>
      <c r="L6">
        <v>56.207981199999999</v>
      </c>
      <c r="N6">
        <v>0</v>
      </c>
      <c r="O6">
        <v>224.97249250000002</v>
      </c>
      <c r="P6">
        <v>0</v>
      </c>
      <c r="Q6">
        <v>3.99</v>
      </c>
      <c r="R6">
        <v>2.3940000000000001</v>
      </c>
      <c r="S6">
        <v>3.4580000000000002</v>
      </c>
      <c r="T6">
        <v>61.529789999999998</v>
      </c>
      <c r="U6">
        <v>0</v>
      </c>
      <c r="V6" s="3">
        <f t="shared" si="0"/>
        <v>937.37868000000014</v>
      </c>
      <c r="W6" s="3">
        <f t="shared" si="1"/>
        <v>937.37868000000014</v>
      </c>
      <c r="X6" s="3">
        <f t="shared" si="2"/>
        <v>0</v>
      </c>
    </row>
    <row r="7" spans="1:24" x14ac:dyDescent="0.15">
      <c r="A7" s="2" t="s">
        <v>5</v>
      </c>
      <c r="B7">
        <v>115.97600000000001</v>
      </c>
      <c r="C7">
        <v>0</v>
      </c>
      <c r="D7">
        <v>0</v>
      </c>
      <c r="E7">
        <v>73.415999999999997</v>
      </c>
      <c r="F7">
        <v>0</v>
      </c>
      <c r="G7">
        <v>0</v>
      </c>
      <c r="H7">
        <v>0</v>
      </c>
      <c r="J7">
        <v>0</v>
      </c>
      <c r="L7">
        <v>0.66500000000000004</v>
      </c>
      <c r="N7">
        <v>0</v>
      </c>
      <c r="O7">
        <v>185.00300000000001</v>
      </c>
      <c r="P7">
        <v>0</v>
      </c>
      <c r="Q7">
        <v>0</v>
      </c>
      <c r="R7">
        <v>3.7240000000000006</v>
      </c>
      <c r="S7">
        <v>0</v>
      </c>
      <c r="T7">
        <v>0</v>
      </c>
      <c r="U7">
        <v>0</v>
      </c>
      <c r="V7" s="3">
        <f t="shared" si="0"/>
        <v>189.392</v>
      </c>
      <c r="W7" s="3">
        <f t="shared" si="1"/>
        <v>189.392</v>
      </c>
      <c r="X7" s="3">
        <f t="shared" si="2"/>
        <v>0</v>
      </c>
    </row>
    <row r="8" spans="1:24" x14ac:dyDescent="0.15">
      <c r="A8" s="1" t="s">
        <v>6</v>
      </c>
      <c r="B8">
        <v>32.053000000000004</v>
      </c>
      <c r="C8">
        <v>0</v>
      </c>
      <c r="D8">
        <v>0</v>
      </c>
      <c r="E8">
        <v>53.997999999999998</v>
      </c>
      <c r="F8">
        <v>0</v>
      </c>
      <c r="G8">
        <v>0</v>
      </c>
      <c r="H8">
        <v>0</v>
      </c>
      <c r="J8">
        <v>0</v>
      </c>
      <c r="L8">
        <v>8.9110000000000014</v>
      </c>
      <c r="N8">
        <v>0</v>
      </c>
      <c r="O8">
        <v>71.288000000000011</v>
      </c>
      <c r="P8">
        <v>0</v>
      </c>
      <c r="Q8">
        <v>0</v>
      </c>
      <c r="R8">
        <v>0.66500000000000004</v>
      </c>
      <c r="S8">
        <v>0</v>
      </c>
      <c r="T8">
        <v>5.1869999999999941</v>
      </c>
      <c r="U8">
        <v>0</v>
      </c>
      <c r="V8" s="3">
        <f t="shared" si="0"/>
        <v>86.051000000000002</v>
      </c>
      <c r="W8" s="3">
        <f t="shared" si="1"/>
        <v>86.051000000000016</v>
      </c>
      <c r="X8" s="3">
        <f t="shared" si="2"/>
        <v>0</v>
      </c>
    </row>
    <row r="9" spans="1:24" x14ac:dyDescent="0.15">
      <c r="A9" s="1" t="s">
        <v>7</v>
      </c>
      <c r="B9">
        <v>339.15000000000003</v>
      </c>
      <c r="C9">
        <v>0</v>
      </c>
      <c r="D9">
        <v>0</v>
      </c>
      <c r="E9">
        <v>69.16</v>
      </c>
      <c r="F9">
        <v>0</v>
      </c>
      <c r="G9">
        <v>0</v>
      </c>
      <c r="H9">
        <v>0</v>
      </c>
      <c r="J9">
        <v>0</v>
      </c>
      <c r="L9">
        <v>64.637999999999991</v>
      </c>
      <c r="N9">
        <v>0</v>
      </c>
      <c r="O9">
        <v>328.90900000000005</v>
      </c>
      <c r="P9">
        <v>0</v>
      </c>
      <c r="Q9">
        <v>0</v>
      </c>
      <c r="R9">
        <v>0</v>
      </c>
      <c r="S9">
        <v>0</v>
      </c>
      <c r="T9">
        <v>14.762999999999993</v>
      </c>
      <c r="U9">
        <v>0</v>
      </c>
      <c r="V9" s="3">
        <f t="shared" si="0"/>
        <v>408.31000000000006</v>
      </c>
      <c r="W9" s="3">
        <f t="shared" si="1"/>
        <v>408.31</v>
      </c>
      <c r="X9" s="3">
        <f t="shared" si="2"/>
        <v>0</v>
      </c>
    </row>
    <row r="10" spans="1:24" x14ac:dyDescent="0.15">
      <c r="A10" s="1" t="s">
        <v>8</v>
      </c>
      <c r="B10">
        <v>67.431000000000012</v>
      </c>
      <c r="C10">
        <v>0</v>
      </c>
      <c r="D10">
        <v>0</v>
      </c>
      <c r="E10">
        <v>301.98076849425507</v>
      </c>
      <c r="F10">
        <v>0</v>
      </c>
      <c r="G10">
        <v>0</v>
      </c>
      <c r="H10">
        <v>34.846000000000004</v>
      </c>
      <c r="J10">
        <v>0</v>
      </c>
      <c r="L10">
        <v>86.051000000000016</v>
      </c>
      <c r="N10">
        <v>0</v>
      </c>
      <c r="O10">
        <v>141.18376849425513</v>
      </c>
      <c r="P10">
        <v>0.13300000000000001</v>
      </c>
      <c r="Q10">
        <v>2.5270000000000001</v>
      </c>
      <c r="R10">
        <v>7.7139999999999995</v>
      </c>
      <c r="S10">
        <v>21.28</v>
      </c>
      <c r="T10">
        <v>75.67699999999995</v>
      </c>
      <c r="U10">
        <v>0</v>
      </c>
      <c r="V10" s="3">
        <f t="shared" si="0"/>
        <v>369.41176849425506</v>
      </c>
      <c r="W10" s="3">
        <f t="shared" si="1"/>
        <v>369.41176849425511</v>
      </c>
      <c r="X10" s="3">
        <f t="shared" si="2"/>
        <v>0</v>
      </c>
    </row>
    <row r="11" spans="1:24" x14ac:dyDescent="0.15">
      <c r="A11" s="1" t="s">
        <v>9</v>
      </c>
      <c r="B11">
        <v>7.7139999999999631</v>
      </c>
      <c r="C11">
        <v>0.39900000000000002</v>
      </c>
      <c r="D11">
        <v>0</v>
      </c>
      <c r="E11">
        <v>585.59900000000005</v>
      </c>
      <c r="F11">
        <v>0</v>
      </c>
      <c r="G11">
        <v>0</v>
      </c>
      <c r="H11">
        <v>0.66500000000000004</v>
      </c>
      <c r="J11">
        <v>0</v>
      </c>
      <c r="L11">
        <v>295.26000000000005</v>
      </c>
      <c r="N11">
        <v>0</v>
      </c>
      <c r="O11">
        <v>240.33100000000002</v>
      </c>
      <c r="P11">
        <v>0</v>
      </c>
      <c r="Q11">
        <v>2.9260000000000002</v>
      </c>
      <c r="R11">
        <v>3.99</v>
      </c>
      <c r="S11">
        <v>0</v>
      </c>
      <c r="T11">
        <v>49.741999999999983</v>
      </c>
      <c r="U11">
        <v>0</v>
      </c>
      <c r="V11" s="3">
        <f t="shared" si="0"/>
        <v>593.31299999999999</v>
      </c>
      <c r="W11" s="3">
        <f t="shared" si="1"/>
        <v>593.3130000000001</v>
      </c>
      <c r="X11" s="3">
        <f t="shared" si="2"/>
        <v>0</v>
      </c>
    </row>
    <row r="12" spans="1:24" x14ac:dyDescent="0.15">
      <c r="A12" s="1" t="s">
        <v>10</v>
      </c>
      <c r="B12">
        <v>0</v>
      </c>
      <c r="C12">
        <v>22.797529999999988</v>
      </c>
      <c r="D12">
        <v>0</v>
      </c>
      <c r="E12">
        <v>240.59700000000001</v>
      </c>
      <c r="F12">
        <v>0</v>
      </c>
      <c r="G12">
        <v>0</v>
      </c>
      <c r="H12">
        <v>0</v>
      </c>
      <c r="J12">
        <v>0</v>
      </c>
      <c r="L12">
        <v>147.48370000000003</v>
      </c>
      <c r="N12">
        <v>0</v>
      </c>
      <c r="O12">
        <v>55.860000000000007</v>
      </c>
      <c r="P12">
        <v>0</v>
      </c>
      <c r="Q12">
        <v>0</v>
      </c>
      <c r="R12">
        <v>1.33</v>
      </c>
      <c r="S12">
        <v>0</v>
      </c>
      <c r="T12">
        <v>13.125770000000001</v>
      </c>
      <c r="U12">
        <v>0</v>
      </c>
      <c r="V12" s="3">
        <f t="shared" si="0"/>
        <v>240.59700000000001</v>
      </c>
      <c r="W12" s="3">
        <f t="shared" si="1"/>
        <v>240.59700000000004</v>
      </c>
      <c r="X12" s="3">
        <f t="shared" si="2"/>
        <v>0</v>
      </c>
    </row>
    <row r="13" spans="1:24" x14ac:dyDescent="0.15">
      <c r="A13" s="1" t="s">
        <v>11</v>
      </c>
      <c r="B13">
        <v>0</v>
      </c>
      <c r="C13">
        <v>0.27436846242955437</v>
      </c>
      <c r="D13">
        <v>0</v>
      </c>
      <c r="E13">
        <v>53.865000000000002</v>
      </c>
      <c r="F13">
        <v>0</v>
      </c>
      <c r="G13">
        <v>0</v>
      </c>
      <c r="H13">
        <v>0</v>
      </c>
      <c r="J13">
        <v>0</v>
      </c>
      <c r="L13">
        <v>0</v>
      </c>
      <c r="N13">
        <v>0</v>
      </c>
      <c r="O13">
        <v>28.187631537570443</v>
      </c>
      <c r="P13">
        <v>0</v>
      </c>
      <c r="Q13">
        <v>0.26600000000000001</v>
      </c>
      <c r="R13">
        <v>5.32</v>
      </c>
      <c r="S13">
        <v>0</v>
      </c>
      <c r="T13">
        <v>19.816999999999997</v>
      </c>
      <c r="U13">
        <v>0</v>
      </c>
      <c r="V13" s="3">
        <f t="shared" si="0"/>
        <v>53.865000000000002</v>
      </c>
      <c r="W13" s="3">
        <f t="shared" si="1"/>
        <v>53.865000000000002</v>
      </c>
      <c r="X13" s="3">
        <f t="shared" si="2"/>
        <v>0</v>
      </c>
    </row>
    <row r="14" spans="1:24" x14ac:dyDescent="0.15">
      <c r="A14" s="1" t="s">
        <v>12</v>
      </c>
      <c r="B14">
        <v>0</v>
      </c>
      <c r="C14">
        <v>0</v>
      </c>
      <c r="D14">
        <v>0</v>
      </c>
      <c r="E14">
        <v>6.3840000000000003</v>
      </c>
      <c r="F14">
        <v>0</v>
      </c>
      <c r="G14">
        <v>0</v>
      </c>
      <c r="H14">
        <v>0</v>
      </c>
      <c r="J14">
        <v>0</v>
      </c>
      <c r="L14">
        <v>0</v>
      </c>
      <c r="N14">
        <v>0</v>
      </c>
      <c r="O14">
        <v>6.3840000000000003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6.3840000000000003</v>
      </c>
      <c r="W14" s="3">
        <f t="shared" si="1"/>
        <v>6.3840000000000003</v>
      </c>
      <c r="X14" s="3">
        <f t="shared" si="2"/>
        <v>0</v>
      </c>
    </row>
    <row r="15" spans="1:24" x14ac:dyDescent="0.15">
      <c r="A15" s="1" t="s">
        <v>13</v>
      </c>
      <c r="B15">
        <v>5.8520000000000012</v>
      </c>
      <c r="C15">
        <v>0</v>
      </c>
      <c r="D15">
        <v>0</v>
      </c>
      <c r="E15">
        <v>7.98</v>
      </c>
      <c r="F15">
        <v>0</v>
      </c>
      <c r="G15">
        <v>0</v>
      </c>
      <c r="H15">
        <v>0</v>
      </c>
      <c r="J15">
        <v>0</v>
      </c>
      <c r="L15">
        <v>0</v>
      </c>
      <c r="N15">
        <v>0</v>
      </c>
      <c r="O15">
        <v>5.32</v>
      </c>
      <c r="P15">
        <v>0</v>
      </c>
      <c r="Q15">
        <v>0</v>
      </c>
      <c r="R15">
        <v>3.5910000000000006</v>
      </c>
      <c r="S15">
        <v>0</v>
      </c>
      <c r="T15">
        <v>4.9210000000000003</v>
      </c>
      <c r="U15">
        <v>0</v>
      </c>
      <c r="V15" s="3">
        <f t="shared" si="0"/>
        <v>13.832000000000001</v>
      </c>
      <c r="W15" s="3">
        <f t="shared" si="1"/>
        <v>13.832000000000001</v>
      </c>
      <c r="X15" s="3">
        <f t="shared" si="2"/>
        <v>0</v>
      </c>
    </row>
    <row r="16" spans="1:24" x14ac:dyDescent="0.15">
      <c r="A16" s="1" t="s">
        <v>14</v>
      </c>
      <c r="B16">
        <v>109.06</v>
      </c>
      <c r="C16">
        <v>0</v>
      </c>
      <c r="D16">
        <v>0</v>
      </c>
      <c r="E16">
        <v>201.29363800000002</v>
      </c>
      <c r="F16">
        <v>0</v>
      </c>
      <c r="G16">
        <v>0</v>
      </c>
      <c r="H16">
        <v>0</v>
      </c>
      <c r="J16">
        <v>0</v>
      </c>
      <c r="L16">
        <v>5.1186380000000007</v>
      </c>
      <c r="N16">
        <v>0</v>
      </c>
      <c r="O16">
        <v>199.5</v>
      </c>
      <c r="P16">
        <v>0</v>
      </c>
      <c r="Q16">
        <v>9.9750000000000014</v>
      </c>
      <c r="R16">
        <v>15.96</v>
      </c>
      <c r="S16">
        <v>14.630000000000003</v>
      </c>
      <c r="T16">
        <v>65.169999999999987</v>
      </c>
      <c r="U16">
        <v>0</v>
      </c>
      <c r="V16" s="3">
        <f t="shared" si="0"/>
        <v>310.35363800000005</v>
      </c>
      <c r="W16" s="3">
        <f t="shared" si="1"/>
        <v>310.35363799999999</v>
      </c>
      <c r="X16" s="3">
        <f t="shared" si="2"/>
        <v>0</v>
      </c>
    </row>
    <row r="17" spans="1:24" x14ac:dyDescent="0.15">
      <c r="A17" s="1" t="s">
        <v>15</v>
      </c>
      <c r="B17">
        <v>209.60800000000006</v>
      </c>
      <c r="C17">
        <v>22.876000000000001</v>
      </c>
      <c r="D17">
        <v>0</v>
      </c>
      <c r="E17">
        <v>254.02999999999997</v>
      </c>
      <c r="F17">
        <v>0</v>
      </c>
      <c r="G17">
        <v>0</v>
      </c>
      <c r="H17">
        <v>0</v>
      </c>
      <c r="J17">
        <v>0</v>
      </c>
      <c r="L17">
        <v>4.6550000000000002</v>
      </c>
      <c r="N17">
        <v>0</v>
      </c>
      <c r="O17">
        <v>355.90800000000002</v>
      </c>
      <c r="P17">
        <v>0</v>
      </c>
      <c r="Q17">
        <v>0.26600000000000001</v>
      </c>
      <c r="R17">
        <v>6.7830000000000004</v>
      </c>
      <c r="S17">
        <v>0</v>
      </c>
      <c r="T17">
        <v>73.149999999999977</v>
      </c>
      <c r="U17">
        <v>0</v>
      </c>
      <c r="V17" s="3">
        <f t="shared" si="0"/>
        <v>463.63800000000003</v>
      </c>
      <c r="W17" s="3">
        <f t="shared" si="1"/>
        <v>463.63799999999998</v>
      </c>
      <c r="X17" s="3">
        <f t="shared" si="2"/>
        <v>0</v>
      </c>
    </row>
    <row r="18" spans="1:24" x14ac:dyDescent="0.15">
      <c r="A18" s="1" t="s">
        <v>16</v>
      </c>
      <c r="B18">
        <v>16.492000000000015</v>
      </c>
      <c r="C18">
        <v>0</v>
      </c>
      <c r="D18">
        <v>0</v>
      </c>
      <c r="E18">
        <v>98.287000000000006</v>
      </c>
      <c r="F18">
        <v>0</v>
      </c>
      <c r="G18">
        <v>0</v>
      </c>
      <c r="H18">
        <v>0</v>
      </c>
      <c r="J18">
        <v>0</v>
      </c>
      <c r="L18">
        <v>2.3940000000000001</v>
      </c>
      <c r="N18">
        <v>0.53200000000000003</v>
      </c>
      <c r="O18">
        <v>69.957999999999998</v>
      </c>
      <c r="P18">
        <v>0</v>
      </c>
      <c r="Q18">
        <v>0</v>
      </c>
      <c r="R18">
        <v>0</v>
      </c>
      <c r="S18">
        <v>0</v>
      </c>
      <c r="T18">
        <v>41.89500000000001</v>
      </c>
      <c r="U18">
        <v>0</v>
      </c>
      <c r="V18" s="3">
        <f t="shared" si="0"/>
        <v>114.77900000000002</v>
      </c>
      <c r="W18" s="3">
        <f t="shared" si="1"/>
        <v>114.77900000000001</v>
      </c>
      <c r="X18" s="3">
        <f t="shared" si="2"/>
        <v>0</v>
      </c>
    </row>
    <row r="19" spans="1:24" x14ac:dyDescent="0.15">
      <c r="A19" s="1" t="s">
        <v>17</v>
      </c>
      <c r="B19">
        <v>0</v>
      </c>
      <c r="C19">
        <v>0</v>
      </c>
      <c r="D19">
        <v>0</v>
      </c>
      <c r="E19">
        <v>77.671999999999997</v>
      </c>
      <c r="F19">
        <v>0</v>
      </c>
      <c r="G19">
        <v>0</v>
      </c>
      <c r="H19">
        <v>0</v>
      </c>
      <c r="J19">
        <v>0</v>
      </c>
      <c r="L19">
        <v>0</v>
      </c>
      <c r="N19">
        <v>0</v>
      </c>
      <c r="O19">
        <v>46.683</v>
      </c>
      <c r="P19">
        <v>0.39900000000000002</v>
      </c>
      <c r="Q19">
        <v>0.39900000000000002</v>
      </c>
      <c r="R19">
        <v>13.965000000000002</v>
      </c>
      <c r="S19">
        <v>0</v>
      </c>
      <c r="T19">
        <v>16.226000000000017</v>
      </c>
      <c r="U19">
        <v>0</v>
      </c>
      <c r="V19" s="3">
        <f t="shared" si="0"/>
        <v>77.671999999999997</v>
      </c>
      <c r="W19" s="3">
        <f t="shared" si="1"/>
        <v>77.672000000000025</v>
      </c>
      <c r="X19" s="3">
        <f t="shared" si="2"/>
        <v>0</v>
      </c>
    </row>
    <row r="20" spans="1:24" x14ac:dyDescent="0.15">
      <c r="A20" s="1" t="s">
        <v>18</v>
      </c>
      <c r="B20">
        <v>711.68300000000011</v>
      </c>
      <c r="C20">
        <v>864.89900000000011</v>
      </c>
      <c r="D20">
        <v>99.085000000000008</v>
      </c>
      <c r="E20">
        <v>333.16500000000002</v>
      </c>
      <c r="F20">
        <v>534.66000000000008</v>
      </c>
      <c r="G20">
        <v>0</v>
      </c>
      <c r="H20">
        <v>15.694000000000001</v>
      </c>
      <c r="J20">
        <v>0</v>
      </c>
      <c r="L20">
        <v>427.86100000000005</v>
      </c>
      <c r="N20">
        <v>0</v>
      </c>
      <c r="O20">
        <v>61.845000000000006</v>
      </c>
      <c r="P20">
        <v>0</v>
      </c>
      <c r="Q20">
        <v>0</v>
      </c>
      <c r="R20">
        <v>0</v>
      </c>
      <c r="S20">
        <v>0</v>
      </c>
      <c r="T20">
        <v>102.277</v>
      </c>
      <c r="U20">
        <v>7.8470000000000004</v>
      </c>
      <c r="V20" s="3">
        <f t="shared" si="0"/>
        <v>1579.5080000000003</v>
      </c>
      <c r="W20" s="3">
        <f t="shared" si="1"/>
        <v>1579.5080000000003</v>
      </c>
      <c r="X20" s="3">
        <f t="shared" si="2"/>
        <v>0</v>
      </c>
    </row>
    <row r="21" spans="1:24" x14ac:dyDescent="0.15">
      <c r="A21" s="1" t="s">
        <v>19</v>
      </c>
      <c r="B21">
        <v>0</v>
      </c>
      <c r="C21">
        <v>0</v>
      </c>
      <c r="D21">
        <v>0</v>
      </c>
      <c r="E21">
        <v>17.879190000000001</v>
      </c>
      <c r="F21">
        <v>0</v>
      </c>
      <c r="G21">
        <v>0</v>
      </c>
      <c r="H21">
        <v>0</v>
      </c>
      <c r="J21">
        <v>0</v>
      </c>
      <c r="L21">
        <v>0</v>
      </c>
      <c r="N21">
        <v>0</v>
      </c>
      <c r="O21">
        <v>7.9041900000000007</v>
      </c>
      <c r="P21">
        <v>0</v>
      </c>
      <c r="Q21">
        <v>0</v>
      </c>
      <c r="R21">
        <v>0</v>
      </c>
      <c r="S21">
        <v>0</v>
      </c>
      <c r="T21">
        <v>9.9750000000000014</v>
      </c>
      <c r="U21">
        <v>0</v>
      </c>
      <c r="V21" s="3">
        <f t="shared" si="0"/>
        <v>17.879190000000001</v>
      </c>
      <c r="W21" s="3">
        <f t="shared" si="1"/>
        <v>17.879190000000001</v>
      </c>
      <c r="X21" s="3">
        <f t="shared" si="2"/>
        <v>0</v>
      </c>
    </row>
    <row r="22" spans="1:24" x14ac:dyDescent="0.15">
      <c r="A22" s="1" t="s">
        <v>20</v>
      </c>
      <c r="B22">
        <v>26.99899999999997</v>
      </c>
      <c r="C22">
        <v>0</v>
      </c>
      <c r="D22">
        <v>246.58199999999999</v>
      </c>
      <c r="E22">
        <v>530.80300000000011</v>
      </c>
      <c r="F22">
        <v>0</v>
      </c>
      <c r="G22">
        <v>0</v>
      </c>
      <c r="H22">
        <v>0</v>
      </c>
      <c r="J22">
        <v>0</v>
      </c>
      <c r="L22">
        <v>81.396000000000001</v>
      </c>
      <c r="N22">
        <v>0</v>
      </c>
      <c r="O22">
        <v>222.77500000000001</v>
      </c>
      <c r="P22">
        <v>0</v>
      </c>
      <c r="Q22">
        <v>3.7240000000000006</v>
      </c>
      <c r="R22">
        <v>3.3250000000000002</v>
      </c>
      <c r="S22">
        <v>0</v>
      </c>
      <c r="T22">
        <v>0</v>
      </c>
      <c r="U22">
        <v>0</v>
      </c>
      <c r="V22" s="3">
        <f t="shared" si="0"/>
        <v>557.80200000000013</v>
      </c>
      <c r="W22" s="3">
        <f t="shared" si="1"/>
        <v>557.80199999999991</v>
      </c>
      <c r="X22" s="3">
        <f t="shared" si="2"/>
        <v>0</v>
      </c>
    </row>
    <row r="23" spans="1:24" x14ac:dyDescent="0.15">
      <c r="A23" s="1" t="s">
        <v>21</v>
      </c>
      <c r="B23">
        <v>903.46899999999994</v>
      </c>
      <c r="C23">
        <v>418.81700000000001</v>
      </c>
      <c r="D23">
        <v>0</v>
      </c>
      <c r="E23">
        <v>94.296999999999997</v>
      </c>
      <c r="F23">
        <v>0</v>
      </c>
      <c r="G23">
        <v>0</v>
      </c>
      <c r="H23">
        <v>0</v>
      </c>
      <c r="J23">
        <v>0</v>
      </c>
      <c r="L23">
        <v>3.8570000000000007</v>
      </c>
      <c r="N23">
        <v>7.98</v>
      </c>
      <c r="O23">
        <v>412.16699999999997</v>
      </c>
      <c r="P23">
        <v>0.66500000000000004</v>
      </c>
      <c r="Q23">
        <v>1.33</v>
      </c>
      <c r="R23">
        <v>33.382999999999996</v>
      </c>
      <c r="S23">
        <v>0.79800000000000004</v>
      </c>
      <c r="T23">
        <v>118.76900000000002</v>
      </c>
      <c r="U23">
        <v>0</v>
      </c>
      <c r="V23" s="3">
        <f t="shared" si="0"/>
        <v>997.76599999999996</v>
      </c>
      <c r="W23" s="3">
        <f t="shared" si="1"/>
        <v>997.76599999999996</v>
      </c>
      <c r="X23" s="3">
        <f t="shared" si="2"/>
        <v>0</v>
      </c>
    </row>
    <row r="24" spans="1:24" x14ac:dyDescent="0.15">
      <c r="A24" s="1" t="s">
        <v>22</v>
      </c>
      <c r="B24">
        <v>2283.7430000000004</v>
      </c>
      <c r="C24">
        <v>792.14800000000002</v>
      </c>
      <c r="D24">
        <v>0</v>
      </c>
      <c r="E24">
        <v>0</v>
      </c>
      <c r="F24">
        <v>0</v>
      </c>
      <c r="G24">
        <v>0</v>
      </c>
      <c r="H24">
        <v>0</v>
      </c>
      <c r="J24">
        <v>0</v>
      </c>
      <c r="L24">
        <v>26.334000000000003</v>
      </c>
      <c r="N24">
        <v>0.26600000000000001</v>
      </c>
      <c r="O24">
        <v>934.99</v>
      </c>
      <c r="P24">
        <v>40.964000000000006</v>
      </c>
      <c r="Q24">
        <v>27.530999999999999</v>
      </c>
      <c r="R24">
        <v>54.796000000000006</v>
      </c>
      <c r="S24">
        <v>1.8620000000000003</v>
      </c>
      <c r="T24">
        <v>404.85200000000015</v>
      </c>
      <c r="U24">
        <v>0</v>
      </c>
      <c r="V24" s="3">
        <f t="shared" si="0"/>
        <v>2283.7430000000004</v>
      </c>
      <c r="W24" s="3">
        <f t="shared" si="1"/>
        <v>2283.7430000000004</v>
      </c>
      <c r="X24" s="3">
        <f t="shared" si="2"/>
        <v>0</v>
      </c>
    </row>
    <row r="25" spans="1:24" x14ac:dyDescent="0.15">
      <c r="A25" s="1" t="s">
        <v>23</v>
      </c>
      <c r="B25">
        <v>0</v>
      </c>
      <c r="C25">
        <v>0</v>
      </c>
      <c r="D25">
        <v>0</v>
      </c>
      <c r="E25">
        <v>68.361999999999995</v>
      </c>
      <c r="F25">
        <v>0</v>
      </c>
      <c r="G25">
        <v>0</v>
      </c>
      <c r="H25">
        <v>0</v>
      </c>
      <c r="J25">
        <v>0</v>
      </c>
      <c r="L25">
        <v>0</v>
      </c>
      <c r="N25">
        <v>0</v>
      </c>
      <c r="O25">
        <v>67.032000000000011</v>
      </c>
      <c r="P25">
        <v>0</v>
      </c>
      <c r="Q25">
        <v>0</v>
      </c>
      <c r="R25">
        <v>0</v>
      </c>
      <c r="S25">
        <v>0</v>
      </c>
      <c r="T25">
        <v>1.3299999999999954</v>
      </c>
      <c r="U25">
        <v>0</v>
      </c>
      <c r="V25" s="3">
        <f t="shared" si="0"/>
        <v>68.361999999999995</v>
      </c>
      <c r="W25" s="3">
        <f t="shared" si="1"/>
        <v>68.362000000000009</v>
      </c>
      <c r="X25" s="3">
        <f t="shared" si="2"/>
        <v>0</v>
      </c>
    </row>
    <row r="26" spans="1:24" x14ac:dyDescent="0.15">
      <c r="A26" s="1" t="s">
        <v>24</v>
      </c>
      <c r="B26">
        <v>2.6600000000000024</v>
      </c>
      <c r="C26">
        <v>2.2915900000001876E-2</v>
      </c>
      <c r="D26">
        <v>0</v>
      </c>
      <c r="E26">
        <v>70.356999999999999</v>
      </c>
      <c r="F26">
        <v>0</v>
      </c>
      <c r="G26">
        <v>0</v>
      </c>
      <c r="H26">
        <v>0</v>
      </c>
      <c r="J26">
        <v>0</v>
      </c>
      <c r="L26">
        <v>0</v>
      </c>
      <c r="N26">
        <v>0</v>
      </c>
      <c r="O26">
        <v>70.334084099999998</v>
      </c>
      <c r="P26">
        <v>0</v>
      </c>
      <c r="Q26">
        <v>0</v>
      </c>
      <c r="R26">
        <v>0</v>
      </c>
      <c r="S26">
        <v>0</v>
      </c>
      <c r="T26">
        <v>2.6600000000000024</v>
      </c>
      <c r="U26">
        <v>0</v>
      </c>
      <c r="V26" s="3">
        <f t="shared" si="0"/>
        <v>73.016999999999996</v>
      </c>
      <c r="W26" s="3">
        <f t="shared" si="1"/>
        <v>73.016999999999996</v>
      </c>
      <c r="X26" s="3">
        <f t="shared" si="2"/>
        <v>0</v>
      </c>
    </row>
    <row r="27" spans="1:24" x14ac:dyDescent="0.15">
      <c r="A27" s="1" t="s">
        <v>25</v>
      </c>
      <c r="B27">
        <v>1464.33</v>
      </c>
      <c r="C27">
        <v>928.87200000000007</v>
      </c>
      <c r="D27">
        <v>0</v>
      </c>
      <c r="E27">
        <v>0</v>
      </c>
      <c r="F27">
        <v>0</v>
      </c>
      <c r="G27">
        <v>0</v>
      </c>
      <c r="H27">
        <v>0</v>
      </c>
      <c r="J27">
        <v>-14.364000000000003</v>
      </c>
      <c r="L27">
        <v>28.329000000000001</v>
      </c>
      <c r="N27">
        <v>0</v>
      </c>
      <c r="O27">
        <v>278.23600000000005</v>
      </c>
      <c r="P27">
        <v>0</v>
      </c>
      <c r="Q27">
        <v>0</v>
      </c>
      <c r="R27">
        <v>73.150000000000006</v>
      </c>
      <c r="S27">
        <v>0</v>
      </c>
      <c r="T27">
        <v>170.107</v>
      </c>
      <c r="U27">
        <v>0</v>
      </c>
      <c r="V27" s="3">
        <f t="shared" si="0"/>
        <v>1464.33</v>
      </c>
      <c r="W27" s="3">
        <f t="shared" si="1"/>
        <v>1464.33</v>
      </c>
      <c r="X27" s="3">
        <f t="shared" si="2"/>
        <v>0</v>
      </c>
    </row>
    <row r="28" spans="1:24" x14ac:dyDescent="0.15">
      <c r="A28" s="1" t="s">
        <v>26</v>
      </c>
      <c r="B28">
        <v>19.817000000000004</v>
      </c>
      <c r="C28">
        <v>0</v>
      </c>
      <c r="D28">
        <v>0</v>
      </c>
      <c r="E28">
        <v>152.68400000000003</v>
      </c>
      <c r="F28">
        <v>0</v>
      </c>
      <c r="G28">
        <v>0</v>
      </c>
      <c r="H28">
        <v>0</v>
      </c>
      <c r="J28">
        <v>0</v>
      </c>
      <c r="L28">
        <v>8.2460000000000004</v>
      </c>
      <c r="N28">
        <v>0</v>
      </c>
      <c r="O28">
        <v>135.39400000000001</v>
      </c>
      <c r="P28">
        <v>0.39900000000000002</v>
      </c>
      <c r="Q28">
        <v>9.8420000000000005</v>
      </c>
      <c r="R28">
        <v>5.9850000000000003</v>
      </c>
      <c r="S28">
        <v>3.0590000000000002</v>
      </c>
      <c r="T28">
        <v>9.5760000000000023</v>
      </c>
      <c r="U28">
        <v>0</v>
      </c>
      <c r="V28" s="3">
        <f t="shared" si="0"/>
        <v>172.50100000000003</v>
      </c>
      <c r="W28" s="3">
        <f t="shared" si="1"/>
        <v>172.50100000000003</v>
      </c>
      <c r="X28" s="3">
        <f t="shared" si="2"/>
        <v>0</v>
      </c>
    </row>
    <row r="29" spans="1:24" x14ac:dyDescent="0.15">
      <c r="A29" s="1" t="s">
        <v>27</v>
      </c>
      <c r="B29">
        <v>456.20463000000001</v>
      </c>
      <c r="C29">
        <v>187.53</v>
      </c>
      <c r="D29">
        <v>0</v>
      </c>
      <c r="E29">
        <v>0.71155000000004276</v>
      </c>
      <c r="F29">
        <v>0</v>
      </c>
      <c r="G29">
        <v>0</v>
      </c>
      <c r="H29">
        <v>0</v>
      </c>
      <c r="J29">
        <v>0</v>
      </c>
      <c r="L29">
        <v>33.599789999999999</v>
      </c>
      <c r="N29">
        <v>0.13300000000000001</v>
      </c>
      <c r="O29">
        <v>54.796000000000006</v>
      </c>
      <c r="P29">
        <v>0.24339000000000002</v>
      </c>
      <c r="Q29">
        <v>5.9850000000000003</v>
      </c>
      <c r="R29">
        <v>30.058</v>
      </c>
      <c r="S29">
        <v>65.569000000000003</v>
      </c>
      <c r="T29">
        <v>79.001999999999995</v>
      </c>
      <c r="U29">
        <v>0</v>
      </c>
      <c r="V29" s="3">
        <f t="shared" si="0"/>
        <v>456.91618000000005</v>
      </c>
      <c r="W29" s="3">
        <f t="shared" si="1"/>
        <v>456.91618000000005</v>
      </c>
      <c r="X29" s="3">
        <f t="shared" si="2"/>
        <v>0</v>
      </c>
    </row>
    <row r="30" spans="1:24" x14ac:dyDescent="0.15">
      <c r="A30" s="1" t="s">
        <v>28</v>
      </c>
      <c r="B30">
        <v>0</v>
      </c>
      <c r="C30">
        <v>0</v>
      </c>
      <c r="D30">
        <v>0</v>
      </c>
      <c r="E30">
        <v>119.56700000000001</v>
      </c>
      <c r="F30">
        <v>0</v>
      </c>
      <c r="G30">
        <v>0</v>
      </c>
      <c r="H30">
        <v>0</v>
      </c>
      <c r="J30">
        <v>0</v>
      </c>
      <c r="L30">
        <v>3.7240000000000006</v>
      </c>
      <c r="N30">
        <v>0</v>
      </c>
      <c r="O30">
        <v>94.563000000000002</v>
      </c>
      <c r="P30">
        <v>0</v>
      </c>
      <c r="Q30">
        <v>1.33</v>
      </c>
      <c r="R30">
        <v>0</v>
      </c>
      <c r="S30">
        <v>0</v>
      </c>
      <c r="T30">
        <v>19.950000000000006</v>
      </c>
      <c r="U30">
        <v>0</v>
      </c>
      <c r="V30" s="3">
        <f t="shared" si="0"/>
        <v>119.56700000000001</v>
      </c>
      <c r="W30" s="3">
        <f t="shared" si="1"/>
        <v>119.56700000000001</v>
      </c>
      <c r="X30" s="3">
        <f t="shared" si="2"/>
        <v>0</v>
      </c>
    </row>
    <row r="31" spans="1:24" x14ac:dyDescent="0.15">
      <c r="A31" s="1" t="s">
        <v>29</v>
      </c>
      <c r="B31">
        <v>2797.3890000000001</v>
      </c>
      <c r="C31">
        <v>1868.9160000000002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179.55</v>
      </c>
      <c r="N31">
        <v>0</v>
      </c>
      <c r="O31">
        <v>640.12900000000002</v>
      </c>
      <c r="P31">
        <v>0</v>
      </c>
      <c r="Q31">
        <v>41.230000000000004</v>
      </c>
      <c r="R31">
        <v>14.896000000000003</v>
      </c>
      <c r="S31">
        <v>6.9160000000000004</v>
      </c>
      <c r="T31">
        <v>45.752000000000002</v>
      </c>
      <c r="U31">
        <v>0</v>
      </c>
      <c r="V31" s="3">
        <f t="shared" si="0"/>
        <v>2797.3890000000001</v>
      </c>
      <c r="W31" s="3">
        <f t="shared" si="1"/>
        <v>2797.3890000000001</v>
      </c>
      <c r="X31" s="3">
        <f t="shared" si="2"/>
        <v>0</v>
      </c>
    </row>
    <row r="32" spans="1:24" x14ac:dyDescent="0.15">
      <c r="O32">
        <f>SUM(O2:O31)</f>
        <v>5303.3498062318267</v>
      </c>
    </row>
    <row r="33" spans="1:1" x14ac:dyDescent="0.15">
      <c r="A33" s="1" t="s">
        <v>49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3"/>
  <sheetViews>
    <sheetView zoomScale="70" zoomScaleNormal="70" workbookViewId="0">
      <selection activeCell="O33" sqref="O33"/>
    </sheetView>
  </sheetViews>
  <sheetFormatPr defaultRowHeight="13.5" x14ac:dyDescent="0.15"/>
  <sheetData>
    <row r="1" spans="1:24" x14ac:dyDescent="0.15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t="s">
        <v>37</v>
      </c>
      <c r="I1" t="s">
        <v>47</v>
      </c>
      <c r="J1" t="s">
        <v>36</v>
      </c>
      <c r="K1" t="s">
        <v>46</v>
      </c>
      <c r="L1" s="19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 x14ac:dyDescent="0.15">
      <c r="A2" s="1" t="s">
        <v>0</v>
      </c>
      <c r="B2" s="3">
        <v>8.8437169999999838</v>
      </c>
      <c r="C2">
        <v>0.30725000000000002</v>
      </c>
      <c r="D2">
        <v>0</v>
      </c>
      <c r="E2">
        <v>555.47215100000017</v>
      </c>
      <c r="F2">
        <v>0</v>
      </c>
      <c r="G2">
        <v>0</v>
      </c>
      <c r="H2">
        <v>0</v>
      </c>
      <c r="J2">
        <v>0</v>
      </c>
      <c r="L2">
        <v>709.708437</v>
      </c>
      <c r="N2">
        <v>16.419440000000002</v>
      </c>
      <c r="O2">
        <v>470.90157399999998</v>
      </c>
      <c r="P2">
        <v>23.344423000000003</v>
      </c>
      <c r="Q2">
        <v>60.131584000000004</v>
      </c>
      <c r="R2">
        <v>110.812298</v>
      </c>
      <c r="S2">
        <v>330.877072</v>
      </c>
      <c r="T2">
        <v>261.2306640000001</v>
      </c>
      <c r="U2">
        <v>0</v>
      </c>
      <c r="V2" s="3">
        <f>B2+L2+E2+F2</f>
        <v>1274.0243050000001</v>
      </c>
      <c r="W2" s="3">
        <f>C2+D2+SUM(G2:U2)-L2</f>
        <v>1274.0243050000001</v>
      </c>
      <c r="X2" s="3">
        <f>V2-W2</f>
        <v>0</v>
      </c>
    </row>
    <row r="3" spans="1:24" x14ac:dyDescent="0.15">
      <c r="A3" s="1" t="s">
        <v>1</v>
      </c>
      <c r="B3">
        <v>0</v>
      </c>
      <c r="C3">
        <v>1.1675500000000001</v>
      </c>
      <c r="D3">
        <v>0</v>
      </c>
      <c r="E3">
        <v>133.36151800000002</v>
      </c>
      <c r="F3">
        <v>0</v>
      </c>
      <c r="G3">
        <v>0</v>
      </c>
      <c r="H3">
        <v>0</v>
      </c>
      <c r="J3">
        <v>0</v>
      </c>
      <c r="L3">
        <v>897.23478</v>
      </c>
      <c r="N3">
        <v>13.85083</v>
      </c>
      <c r="O3">
        <v>628.54414199999997</v>
      </c>
      <c r="P3">
        <v>8.2046900000000011</v>
      </c>
      <c r="Q3">
        <v>14.910357000000001</v>
      </c>
      <c r="R3">
        <v>51.425912000000004</v>
      </c>
      <c r="S3">
        <v>45.356870000000001</v>
      </c>
      <c r="T3">
        <v>267.13594699999993</v>
      </c>
      <c r="U3">
        <v>0</v>
      </c>
      <c r="V3" s="3">
        <f t="shared" ref="V3:V31" si="0">B3+L3+E3+F3</f>
        <v>1030.5962979999999</v>
      </c>
      <c r="W3" s="3">
        <f t="shared" ref="W3:W31" si="1">C3+D3+SUM(G3:U3)-L3</f>
        <v>1030.5962979999997</v>
      </c>
      <c r="X3" s="3">
        <f t="shared" ref="X3:X31" si="2">V3-W3</f>
        <v>0</v>
      </c>
    </row>
    <row r="4" spans="1:24" x14ac:dyDescent="0.15">
      <c r="A4" s="1" t="s">
        <v>2</v>
      </c>
      <c r="B4">
        <v>13.584184999999996</v>
      </c>
      <c r="C4">
        <v>94.046094999999994</v>
      </c>
      <c r="D4">
        <v>0</v>
      </c>
      <c r="E4">
        <v>460.82585063814179</v>
      </c>
      <c r="F4">
        <v>0</v>
      </c>
      <c r="G4">
        <v>0</v>
      </c>
      <c r="H4">
        <v>0</v>
      </c>
      <c r="J4">
        <v>0</v>
      </c>
      <c r="L4">
        <v>2622.0678600000001</v>
      </c>
      <c r="N4">
        <v>176.34921000000003</v>
      </c>
      <c r="O4">
        <v>2099.6240384381422</v>
      </c>
      <c r="P4">
        <v>15.823692000000001</v>
      </c>
      <c r="Q4">
        <v>55.133595600000007</v>
      </c>
      <c r="R4">
        <v>43.256884400000004</v>
      </c>
      <c r="S4">
        <v>87.553995</v>
      </c>
      <c r="T4">
        <v>524.6903851999997</v>
      </c>
      <c r="U4">
        <v>0</v>
      </c>
      <c r="V4" s="3">
        <f t="shared" si="0"/>
        <v>3096.4778956381419</v>
      </c>
      <c r="W4" s="3">
        <f t="shared" si="1"/>
        <v>3096.4778956381415</v>
      </c>
      <c r="X4" s="3">
        <f t="shared" si="2"/>
        <v>0</v>
      </c>
    </row>
    <row r="5" spans="1:24" x14ac:dyDescent="0.15">
      <c r="A5" s="1" t="s">
        <v>3</v>
      </c>
      <c r="B5">
        <v>31.646750000000001</v>
      </c>
      <c r="C5">
        <v>568.48624000000007</v>
      </c>
      <c r="D5">
        <v>0</v>
      </c>
      <c r="E5">
        <v>62.506940000000007</v>
      </c>
      <c r="F5">
        <v>0</v>
      </c>
      <c r="G5">
        <v>0</v>
      </c>
      <c r="H5">
        <v>0</v>
      </c>
      <c r="J5">
        <v>0</v>
      </c>
      <c r="L5">
        <v>2441.2722580000004</v>
      </c>
      <c r="N5">
        <v>34.879020000000004</v>
      </c>
      <c r="O5">
        <v>1520.3444770000001</v>
      </c>
      <c r="P5">
        <v>10.004060000000001</v>
      </c>
      <c r="Q5">
        <v>50.401290000000003</v>
      </c>
      <c r="R5">
        <v>18.680800000000001</v>
      </c>
      <c r="S5">
        <v>42.818360000000006</v>
      </c>
      <c r="T5">
        <v>289.81170099999991</v>
      </c>
      <c r="U5">
        <v>0</v>
      </c>
      <c r="V5" s="3">
        <f t="shared" si="0"/>
        <v>2535.4259480000005</v>
      </c>
      <c r="W5" s="3">
        <f t="shared" si="1"/>
        <v>2535.4259479999996</v>
      </c>
      <c r="X5" s="3">
        <f t="shared" si="2"/>
        <v>0</v>
      </c>
    </row>
    <row r="6" spans="1:24" x14ac:dyDescent="0.15">
      <c r="A6" s="1" t="s">
        <v>4</v>
      </c>
      <c r="B6">
        <v>67.746289900000036</v>
      </c>
      <c r="C6">
        <v>843.01913989009984</v>
      </c>
      <c r="D6">
        <v>0</v>
      </c>
      <c r="E6">
        <v>0</v>
      </c>
      <c r="F6">
        <v>0</v>
      </c>
      <c r="G6">
        <v>0</v>
      </c>
      <c r="H6">
        <v>0</v>
      </c>
      <c r="J6">
        <v>0</v>
      </c>
      <c r="L6">
        <v>2714.2574999150997</v>
      </c>
      <c r="N6">
        <v>43.748989400000006</v>
      </c>
      <c r="O6">
        <v>1422.7898626550002</v>
      </c>
      <c r="P6">
        <v>9.817763900000001</v>
      </c>
      <c r="Q6">
        <v>41.44985887</v>
      </c>
      <c r="R6">
        <v>49.956638499999997</v>
      </c>
      <c r="S6">
        <v>50.733673700000004</v>
      </c>
      <c r="T6">
        <v>320.48786289999998</v>
      </c>
      <c r="U6">
        <v>0</v>
      </c>
      <c r="V6" s="3">
        <f t="shared" si="0"/>
        <v>2782.0037898150999</v>
      </c>
      <c r="W6" s="3">
        <f t="shared" si="1"/>
        <v>2782.0037898150981</v>
      </c>
      <c r="X6" s="3">
        <f t="shared" si="2"/>
        <v>0</v>
      </c>
    </row>
    <row r="7" spans="1:24" x14ac:dyDescent="0.15">
      <c r="A7" s="2" t="s">
        <v>5</v>
      </c>
      <c r="B7">
        <v>58.426659999999991</v>
      </c>
      <c r="C7">
        <v>26.521819999999998</v>
      </c>
      <c r="D7">
        <v>0</v>
      </c>
      <c r="E7">
        <v>329.22452000000004</v>
      </c>
      <c r="F7">
        <v>0.51617999999999997</v>
      </c>
      <c r="G7">
        <v>0</v>
      </c>
      <c r="H7">
        <v>0</v>
      </c>
      <c r="J7">
        <v>0</v>
      </c>
      <c r="L7">
        <v>2547.1327339999998</v>
      </c>
      <c r="N7">
        <v>30.712710000000001</v>
      </c>
      <c r="O7">
        <v>1769.1535450000001</v>
      </c>
      <c r="P7">
        <v>16.214337</v>
      </c>
      <c r="Q7">
        <v>37.759118000000001</v>
      </c>
      <c r="R7">
        <v>49.454557000000001</v>
      </c>
      <c r="S7">
        <v>146.109633</v>
      </c>
      <c r="T7">
        <v>859.37437399999999</v>
      </c>
      <c r="U7">
        <v>0</v>
      </c>
      <c r="V7" s="3">
        <f t="shared" si="0"/>
        <v>2935.3000940000002</v>
      </c>
      <c r="W7" s="3">
        <f t="shared" si="1"/>
        <v>2935.3000940000002</v>
      </c>
      <c r="X7" s="3">
        <f t="shared" si="2"/>
        <v>0</v>
      </c>
    </row>
    <row r="8" spans="1:24" x14ac:dyDescent="0.15">
      <c r="A8" s="1" t="s">
        <v>6</v>
      </c>
      <c r="B8">
        <v>90.071918000000011</v>
      </c>
      <c r="C8">
        <v>47.181310000000003</v>
      </c>
      <c r="D8">
        <v>0</v>
      </c>
      <c r="E8">
        <v>3.4099999994541573E-4</v>
      </c>
      <c r="F8">
        <v>0</v>
      </c>
      <c r="G8">
        <v>0</v>
      </c>
      <c r="H8">
        <v>0</v>
      </c>
      <c r="J8">
        <v>0</v>
      </c>
      <c r="L8">
        <v>1059.351791</v>
      </c>
      <c r="N8">
        <v>10.716880000000002</v>
      </c>
      <c r="O8">
        <v>781.7273090000001</v>
      </c>
      <c r="P8">
        <v>5.7404640000000002</v>
      </c>
      <c r="Q8">
        <v>26.571326000000003</v>
      </c>
      <c r="R8">
        <v>20.848753000000002</v>
      </c>
      <c r="S8">
        <v>48.736486999999997</v>
      </c>
      <c r="T8">
        <v>207.90152099999989</v>
      </c>
      <c r="U8">
        <v>0</v>
      </c>
      <c r="V8" s="3">
        <f t="shared" si="0"/>
        <v>1149.4240500000001</v>
      </c>
      <c r="W8" s="3">
        <f t="shared" si="1"/>
        <v>1149.4240499999996</v>
      </c>
      <c r="X8" s="3">
        <f t="shared" si="2"/>
        <v>0</v>
      </c>
    </row>
    <row r="9" spans="1:24" x14ac:dyDescent="0.15">
      <c r="A9" s="1" t="s">
        <v>7</v>
      </c>
      <c r="B9">
        <v>17.21829</v>
      </c>
      <c r="C9">
        <v>169.22101000000001</v>
      </c>
      <c r="D9">
        <v>4.9160000000000002E-2</v>
      </c>
      <c r="E9">
        <v>0.55305000000000004</v>
      </c>
      <c r="F9">
        <v>82.220100000000016</v>
      </c>
      <c r="G9">
        <v>0</v>
      </c>
      <c r="H9">
        <v>0</v>
      </c>
      <c r="J9">
        <v>0</v>
      </c>
      <c r="L9">
        <v>1341.3787649999999</v>
      </c>
      <c r="N9">
        <v>19.88522</v>
      </c>
      <c r="O9">
        <v>702.47157100000004</v>
      </c>
      <c r="P9">
        <v>4.4735600000000009</v>
      </c>
      <c r="Q9">
        <v>10.815200000000001</v>
      </c>
      <c r="R9">
        <v>18.484159999999999</v>
      </c>
      <c r="S9">
        <v>46.026050000000005</v>
      </c>
      <c r="T9">
        <v>469.94427400000018</v>
      </c>
      <c r="U9">
        <v>0</v>
      </c>
      <c r="V9" s="3">
        <f t="shared" si="0"/>
        <v>1441.3702049999999</v>
      </c>
      <c r="W9" s="3">
        <f t="shared" si="1"/>
        <v>1441.3702049999997</v>
      </c>
      <c r="X9" s="3">
        <f t="shared" si="2"/>
        <v>0</v>
      </c>
    </row>
    <row r="10" spans="1:24" x14ac:dyDescent="0.15">
      <c r="A10" s="1" t="s">
        <v>8</v>
      </c>
      <c r="B10">
        <v>19.141999999999978</v>
      </c>
      <c r="C10">
        <v>19.946670000000001</v>
      </c>
      <c r="D10">
        <v>0</v>
      </c>
      <c r="E10">
        <v>426.18372600000004</v>
      </c>
      <c r="F10">
        <v>0</v>
      </c>
      <c r="G10">
        <v>0</v>
      </c>
      <c r="H10">
        <v>0</v>
      </c>
      <c r="J10">
        <v>0</v>
      </c>
      <c r="L10">
        <v>1123.0206950000002</v>
      </c>
      <c r="N10">
        <v>6.4768299999999996</v>
      </c>
      <c r="O10">
        <v>1013.0052500000002</v>
      </c>
      <c r="P10">
        <v>23.123596000000003</v>
      </c>
      <c r="Q10">
        <v>24.856005</v>
      </c>
      <c r="R10">
        <v>78.755261000000019</v>
      </c>
      <c r="S10">
        <v>162.26149600000002</v>
      </c>
      <c r="T10">
        <v>239.92131299999977</v>
      </c>
      <c r="U10">
        <v>0</v>
      </c>
      <c r="V10" s="3">
        <f t="shared" si="0"/>
        <v>1568.3464210000002</v>
      </c>
      <c r="W10" s="3">
        <f t="shared" si="1"/>
        <v>1568.3464209999997</v>
      </c>
      <c r="X10" s="3">
        <f t="shared" si="2"/>
        <v>0</v>
      </c>
    </row>
    <row r="11" spans="1:24" x14ac:dyDescent="0.15">
      <c r="A11" s="1" t="s">
        <v>9</v>
      </c>
      <c r="B11">
        <v>131.12201000000002</v>
      </c>
      <c r="C11">
        <v>238.25394000000003</v>
      </c>
      <c r="D11">
        <v>0</v>
      </c>
      <c r="E11">
        <v>393.95595000000003</v>
      </c>
      <c r="F11">
        <v>0</v>
      </c>
      <c r="G11">
        <v>0</v>
      </c>
      <c r="H11">
        <v>0</v>
      </c>
      <c r="J11">
        <v>0</v>
      </c>
      <c r="L11">
        <v>4192.6262260000003</v>
      </c>
      <c r="N11">
        <v>30.073630000000001</v>
      </c>
      <c r="O11">
        <v>3521.2573010000001</v>
      </c>
      <c r="P11">
        <v>28.93066</v>
      </c>
      <c r="Q11">
        <v>23.965500000000002</v>
      </c>
      <c r="R11">
        <v>90.294630000000012</v>
      </c>
      <c r="S11">
        <v>172.18290000000002</v>
      </c>
      <c r="T11">
        <v>612.74562500000047</v>
      </c>
      <c r="U11">
        <v>0</v>
      </c>
      <c r="V11" s="3">
        <f t="shared" si="0"/>
        <v>4717.7041860000008</v>
      </c>
      <c r="W11" s="3">
        <f t="shared" si="1"/>
        <v>4717.7041860000008</v>
      </c>
      <c r="X11" s="3">
        <f t="shared" si="2"/>
        <v>0</v>
      </c>
    </row>
    <row r="12" spans="1:24" x14ac:dyDescent="0.15">
      <c r="A12" s="1" t="s">
        <v>10</v>
      </c>
      <c r="B12">
        <v>477.86727119000005</v>
      </c>
      <c r="C12">
        <v>76.016060870000146</v>
      </c>
      <c r="D12">
        <v>0</v>
      </c>
      <c r="E12">
        <v>209.87338040000077</v>
      </c>
      <c r="F12">
        <v>0</v>
      </c>
      <c r="G12">
        <v>0</v>
      </c>
      <c r="H12">
        <v>0</v>
      </c>
      <c r="J12">
        <v>0</v>
      </c>
      <c r="L12">
        <v>3312.2584338900006</v>
      </c>
      <c r="N12">
        <v>19.223034800000001</v>
      </c>
      <c r="O12">
        <v>2950.37621468</v>
      </c>
      <c r="P12">
        <v>29.011282400000002</v>
      </c>
      <c r="Q12">
        <v>20.573672030000004</v>
      </c>
      <c r="R12">
        <v>248.81184380000002</v>
      </c>
      <c r="S12">
        <v>179.33324780000001</v>
      </c>
      <c r="T12">
        <v>476.65372910000059</v>
      </c>
      <c r="U12">
        <v>0</v>
      </c>
      <c r="V12" s="3">
        <f t="shared" si="0"/>
        <v>3999.9990854800012</v>
      </c>
      <c r="W12" s="3">
        <f t="shared" si="1"/>
        <v>3999.9990854800008</v>
      </c>
      <c r="X12" s="3">
        <f t="shared" si="2"/>
        <v>0</v>
      </c>
    </row>
    <row r="13" spans="1:24" x14ac:dyDescent="0.15">
      <c r="A13" s="1" t="s">
        <v>11</v>
      </c>
      <c r="B13">
        <v>18.017139999999998</v>
      </c>
      <c r="C13">
        <v>130.96053939930246</v>
      </c>
      <c r="D13">
        <v>0</v>
      </c>
      <c r="E13">
        <v>8.8365100000000005</v>
      </c>
      <c r="F13">
        <v>0</v>
      </c>
      <c r="G13">
        <v>0</v>
      </c>
      <c r="H13">
        <v>0</v>
      </c>
      <c r="J13">
        <v>0</v>
      </c>
      <c r="L13">
        <v>1217.3707391299001</v>
      </c>
      <c r="N13">
        <v>14.758815200000003</v>
      </c>
      <c r="O13">
        <v>835.87660823059775</v>
      </c>
      <c r="P13">
        <v>9.5532628000000006</v>
      </c>
      <c r="Q13">
        <v>10.995125600000001</v>
      </c>
      <c r="R13">
        <v>23.679265900000001</v>
      </c>
      <c r="S13">
        <v>42.417460200000008</v>
      </c>
      <c r="T13">
        <v>175.98331179999991</v>
      </c>
      <c r="U13">
        <v>0</v>
      </c>
      <c r="V13" s="3">
        <f t="shared" si="0"/>
        <v>1244.2243891299001</v>
      </c>
      <c r="W13" s="3">
        <f t="shared" si="1"/>
        <v>1244.2243891298997</v>
      </c>
      <c r="X13" s="3">
        <f t="shared" si="2"/>
        <v>0</v>
      </c>
    </row>
    <row r="14" spans="1:24" x14ac:dyDescent="0.15">
      <c r="A14" s="1" t="s">
        <v>12</v>
      </c>
      <c r="B14">
        <v>404.11873300000002</v>
      </c>
      <c r="C14">
        <v>49.811370000000004</v>
      </c>
      <c r="D14">
        <v>0</v>
      </c>
      <c r="E14">
        <v>1.9418200000000003</v>
      </c>
      <c r="F14">
        <v>0</v>
      </c>
      <c r="G14">
        <v>0</v>
      </c>
      <c r="H14">
        <v>0</v>
      </c>
      <c r="J14">
        <v>0</v>
      </c>
      <c r="L14">
        <v>1011.158064</v>
      </c>
      <c r="N14">
        <v>13.101140000000001</v>
      </c>
      <c r="O14">
        <v>916.020127</v>
      </c>
      <c r="P14">
        <v>17.119970000000002</v>
      </c>
      <c r="Q14">
        <v>15.841810000000002</v>
      </c>
      <c r="R14">
        <v>39.278840000000002</v>
      </c>
      <c r="S14">
        <v>73.260690000000011</v>
      </c>
      <c r="T14">
        <v>292.78467000000006</v>
      </c>
      <c r="U14">
        <v>0</v>
      </c>
      <c r="V14" s="3">
        <f t="shared" si="0"/>
        <v>1417.218617</v>
      </c>
      <c r="W14" s="3">
        <f t="shared" si="1"/>
        <v>1417.2186169999998</v>
      </c>
      <c r="X14" s="3">
        <f t="shared" si="2"/>
        <v>0</v>
      </c>
    </row>
    <row r="15" spans="1:24" x14ac:dyDescent="0.15">
      <c r="A15" s="1" t="s">
        <v>13</v>
      </c>
      <c r="B15">
        <v>95.739100000000008</v>
      </c>
      <c r="C15">
        <v>5.6411100000000003</v>
      </c>
      <c r="D15">
        <v>0</v>
      </c>
      <c r="E15">
        <v>26.337470000000003</v>
      </c>
      <c r="F15">
        <v>0</v>
      </c>
      <c r="G15">
        <v>0</v>
      </c>
      <c r="H15">
        <v>0</v>
      </c>
      <c r="J15">
        <v>0</v>
      </c>
      <c r="L15">
        <v>586.52950800000008</v>
      </c>
      <c r="N15">
        <v>26.226860000000002</v>
      </c>
      <c r="O15">
        <v>461.85974800000008</v>
      </c>
      <c r="P15">
        <v>4.8914200000000001</v>
      </c>
      <c r="Q15">
        <v>9.3895599999999995</v>
      </c>
      <c r="R15">
        <v>16.57921</v>
      </c>
      <c r="S15">
        <v>29.459130000000002</v>
      </c>
      <c r="T15">
        <v>154.55904000000007</v>
      </c>
      <c r="U15">
        <v>0</v>
      </c>
      <c r="V15" s="3">
        <f t="shared" si="0"/>
        <v>708.60607800000014</v>
      </c>
      <c r="W15" s="3">
        <f t="shared" si="1"/>
        <v>708.60607800000025</v>
      </c>
      <c r="X15" s="3">
        <f t="shared" si="2"/>
        <v>0</v>
      </c>
    </row>
    <row r="16" spans="1:24" x14ac:dyDescent="0.15">
      <c r="A16" s="1" t="s">
        <v>14</v>
      </c>
      <c r="B16">
        <v>23.465969999999999</v>
      </c>
      <c r="C16">
        <v>12.695868869099751</v>
      </c>
      <c r="D16">
        <v>0</v>
      </c>
      <c r="E16">
        <v>0</v>
      </c>
      <c r="F16">
        <v>0</v>
      </c>
      <c r="G16">
        <v>0</v>
      </c>
      <c r="H16">
        <v>0</v>
      </c>
      <c r="J16">
        <v>0</v>
      </c>
      <c r="L16">
        <v>5155.3105567920002</v>
      </c>
      <c r="N16">
        <v>86.731203499999992</v>
      </c>
      <c r="O16">
        <v>4159.3907872229001</v>
      </c>
      <c r="P16">
        <v>38.571764700000003</v>
      </c>
      <c r="Q16">
        <v>40.925779500000004</v>
      </c>
      <c r="R16">
        <v>129.49971780000001</v>
      </c>
      <c r="S16">
        <v>166.52437770000003</v>
      </c>
      <c r="T16">
        <v>544.43702750000034</v>
      </c>
      <c r="U16">
        <v>0</v>
      </c>
      <c r="V16" s="3">
        <f t="shared" si="0"/>
        <v>5178.7765267920004</v>
      </c>
      <c r="W16" s="3">
        <f t="shared" si="1"/>
        <v>5178.7765267919995</v>
      </c>
      <c r="X16" s="3">
        <f t="shared" si="2"/>
        <v>0</v>
      </c>
    </row>
    <row r="17" spans="1:24" x14ac:dyDescent="0.15">
      <c r="A17" s="1" t="s">
        <v>15</v>
      </c>
      <c r="B17">
        <v>105.06735999999999</v>
      </c>
      <c r="C17">
        <v>109.42112600000006</v>
      </c>
      <c r="D17">
        <v>0</v>
      </c>
      <c r="E17">
        <v>51.72861000000001</v>
      </c>
      <c r="F17">
        <v>0</v>
      </c>
      <c r="G17">
        <v>0</v>
      </c>
      <c r="H17">
        <v>0</v>
      </c>
      <c r="J17">
        <v>0</v>
      </c>
      <c r="L17">
        <v>2711.9873899999998</v>
      </c>
      <c r="N17">
        <v>91.550718000000003</v>
      </c>
      <c r="O17">
        <v>2046.6347490000003</v>
      </c>
      <c r="P17">
        <v>10.14842</v>
      </c>
      <c r="Q17">
        <v>45.213229000000005</v>
      </c>
      <c r="R17">
        <v>46.688042000000003</v>
      </c>
      <c r="S17">
        <v>81.082800000000006</v>
      </c>
      <c r="T17">
        <v>438.04427600000008</v>
      </c>
      <c r="U17">
        <v>0</v>
      </c>
      <c r="V17" s="3">
        <f t="shared" si="0"/>
        <v>2868.7833599999999</v>
      </c>
      <c r="W17" s="3">
        <f t="shared" si="1"/>
        <v>2868.7833600000008</v>
      </c>
      <c r="X17" s="3">
        <f t="shared" si="2"/>
        <v>0</v>
      </c>
    </row>
    <row r="18" spans="1:24" x14ac:dyDescent="0.15">
      <c r="A18" s="1" t="s">
        <v>16</v>
      </c>
      <c r="B18">
        <v>1118.5251900000001</v>
      </c>
      <c r="C18">
        <v>820.16086000000007</v>
      </c>
      <c r="D18">
        <v>0</v>
      </c>
      <c r="E18">
        <v>141.62996000000001</v>
      </c>
      <c r="F18">
        <v>0</v>
      </c>
      <c r="G18">
        <v>0</v>
      </c>
      <c r="H18">
        <v>0</v>
      </c>
      <c r="J18">
        <v>0</v>
      </c>
      <c r="L18">
        <v>1074.547139</v>
      </c>
      <c r="N18">
        <v>46.591389999999997</v>
      </c>
      <c r="O18">
        <v>1169.2538790000001</v>
      </c>
      <c r="P18">
        <v>10.741460000000002</v>
      </c>
      <c r="Q18">
        <v>14.66197</v>
      </c>
      <c r="R18">
        <v>45.718800000000009</v>
      </c>
      <c r="S18">
        <v>54.481570000000005</v>
      </c>
      <c r="T18">
        <v>173.09236000000013</v>
      </c>
      <c r="U18">
        <v>0</v>
      </c>
      <c r="V18" s="3">
        <f t="shared" si="0"/>
        <v>2334.7022890000003</v>
      </c>
      <c r="W18" s="3">
        <f t="shared" si="1"/>
        <v>2334.7022890000007</v>
      </c>
      <c r="X18" s="3">
        <f t="shared" si="2"/>
        <v>0</v>
      </c>
    </row>
    <row r="19" spans="1:24" x14ac:dyDescent="0.15">
      <c r="A19" s="1" t="s">
        <v>17</v>
      </c>
      <c r="B19">
        <v>422.53504700000002</v>
      </c>
      <c r="C19">
        <v>108.39780000000002</v>
      </c>
      <c r="D19">
        <v>0</v>
      </c>
      <c r="E19">
        <v>161.23251000000002</v>
      </c>
      <c r="F19">
        <v>0</v>
      </c>
      <c r="G19">
        <v>0</v>
      </c>
      <c r="H19">
        <v>0</v>
      </c>
      <c r="J19">
        <v>0</v>
      </c>
      <c r="L19">
        <v>815.52234599999997</v>
      </c>
      <c r="N19">
        <v>89.397459999999995</v>
      </c>
      <c r="O19">
        <v>792.53260299999999</v>
      </c>
      <c r="P19">
        <v>8.7259000000000011</v>
      </c>
      <c r="Q19">
        <v>29.766380000000002</v>
      </c>
      <c r="R19">
        <v>23.76886</v>
      </c>
      <c r="S19">
        <v>51.962120000000006</v>
      </c>
      <c r="T19">
        <v>294.73877999999996</v>
      </c>
      <c r="U19">
        <v>0</v>
      </c>
      <c r="V19" s="3">
        <f t="shared" si="0"/>
        <v>1399.2899030000001</v>
      </c>
      <c r="W19" s="3">
        <f t="shared" si="1"/>
        <v>1399.2899030000001</v>
      </c>
      <c r="X19" s="3">
        <f t="shared" si="2"/>
        <v>0</v>
      </c>
    </row>
    <row r="20" spans="1:24" x14ac:dyDescent="0.15">
      <c r="A20" s="1" t="s">
        <v>18</v>
      </c>
      <c r="B20">
        <v>539.85053999999991</v>
      </c>
      <c r="C20">
        <v>5.1495552028708742</v>
      </c>
      <c r="D20">
        <v>145.46444</v>
      </c>
      <c r="E20">
        <v>964.18736999999999</v>
      </c>
      <c r="F20">
        <v>49.590150000000008</v>
      </c>
      <c r="G20">
        <v>0</v>
      </c>
      <c r="H20">
        <v>0</v>
      </c>
      <c r="J20">
        <v>0</v>
      </c>
      <c r="L20">
        <v>2963.6994170000003</v>
      </c>
      <c r="N20">
        <v>90.835390000000004</v>
      </c>
      <c r="O20">
        <v>2823.6548217971299</v>
      </c>
      <c r="P20">
        <v>53.043639999999996</v>
      </c>
      <c r="Q20">
        <v>45.767960000000009</v>
      </c>
      <c r="R20">
        <v>231.02742000000001</v>
      </c>
      <c r="S20">
        <v>337.27447000000001</v>
      </c>
      <c r="T20">
        <v>785.10977999999943</v>
      </c>
      <c r="U20">
        <v>0</v>
      </c>
      <c r="V20" s="3">
        <f t="shared" si="0"/>
        <v>4517.3274769999998</v>
      </c>
      <c r="W20" s="3">
        <f t="shared" si="1"/>
        <v>4517.3274770000007</v>
      </c>
      <c r="X20" s="3">
        <f t="shared" si="2"/>
        <v>0</v>
      </c>
    </row>
    <row r="21" spans="1:24" x14ac:dyDescent="0.15">
      <c r="A21" s="1" t="s">
        <v>19</v>
      </c>
      <c r="B21">
        <v>398.76341950000005</v>
      </c>
      <c r="C21">
        <v>82.58929160000001</v>
      </c>
      <c r="D21">
        <v>0</v>
      </c>
      <c r="E21">
        <v>78.183203700000121</v>
      </c>
      <c r="F21">
        <v>0</v>
      </c>
      <c r="G21">
        <v>0</v>
      </c>
      <c r="H21">
        <v>0</v>
      </c>
      <c r="J21">
        <v>0</v>
      </c>
      <c r="L21">
        <v>536.5056151</v>
      </c>
      <c r="N21">
        <v>21.579519399999999</v>
      </c>
      <c r="O21">
        <v>668.56571100000008</v>
      </c>
      <c r="P21">
        <v>5.6714663000000005</v>
      </c>
      <c r="Q21">
        <v>8.7872271000000008</v>
      </c>
      <c r="R21">
        <v>19.585221100000002</v>
      </c>
      <c r="S21">
        <v>35.693232500000001</v>
      </c>
      <c r="T21">
        <v>170.98056930000013</v>
      </c>
      <c r="U21">
        <v>0</v>
      </c>
      <c r="V21" s="3">
        <f t="shared" si="0"/>
        <v>1013.4522383000002</v>
      </c>
      <c r="W21" s="3">
        <f t="shared" si="1"/>
        <v>1013.4522383000002</v>
      </c>
      <c r="X21" s="3">
        <f t="shared" si="2"/>
        <v>0</v>
      </c>
    </row>
    <row r="22" spans="1:24" x14ac:dyDescent="0.15">
      <c r="A22" s="1" t="s">
        <v>20</v>
      </c>
      <c r="B22">
        <v>16.087610000000002</v>
      </c>
      <c r="C22">
        <v>1.9436999999999767E-2</v>
      </c>
      <c r="D22">
        <v>0</v>
      </c>
      <c r="E22">
        <v>2.3105199999999946</v>
      </c>
      <c r="F22">
        <v>0</v>
      </c>
      <c r="G22">
        <v>0</v>
      </c>
      <c r="H22">
        <v>0</v>
      </c>
      <c r="J22">
        <v>0</v>
      </c>
      <c r="L22">
        <v>129.97845700000002</v>
      </c>
      <c r="N22">
        <v>7.3002600000000006</v>
      </c>
      <c r="O22">
        <v>79.864980000000003</v>
      </c>
      <c r="P22">
        <v>1.1183900000000002</v>
      </c>
      <c r="Q22">
        <v>1.8803700000000001</v>
      </c>
      <c r="R22">
        <v>9.8197100000000006</v>
      </c>
      <c r="S22">
        <v>20.991319999999998</v>
      </c>
      <c r="T22">
        <v>27.382120000000004</v>
      </c>
      <c r="U22">
        <v>0</v>
      </c>
      <c r="V22" s="3">
        <f t="shared" si="0"/>
        <v>148.37658700000003</v>
      </c>
      <c r="W22" s="3">
        <f t="shared" si="1"/>
        <v>148.376587</v>
      </c>
      <c r="X22" s="3">
        <f t="shared" si="2"/>
        <v>0</v>
      </c>
    </row>
    <row r="23" spans="1:24" x14ac:dyDescent="0.15">
      <c r="A23" s="1" t="s">
        <v>21</v>
      </c>
      <c r="B23">
        <v>75.165639999999996</v>
      </c>
      <c r="C23">
        <v>63.7851</v>
      </c>
      <c r="D23">
        <v>0</v>
      </c>
      <c r="E23">
        <v>179.59377000000001</v>
      </c>
      <c r="F23">
        <v>0</v>
      </c>
      <c r="G23">
        <v>0</v>
      </c>
      <c r="H23">
        <v>0</v>
      </c>
      <c r="J23">
        <v>0</v>
      </c>
      <c r="L23">
        <v>429.10359</v>
      </c>
      <c r="N23">
        <v>2.5071600000000003</v>
      </c>
      <c r="O23">
        <v>399.21431000000001</v>
      </c>
      <c r="P23">
        <v>14.231820000000001</v>
      </c>
      <c r="Q23">
        <v>9.8320000000000007</v>
      </c>
      <c r="R23">
        <v>24.936410000000002</v>
      </c>
      <c r="S23">
        <v>36.144890000000004</v>
      </c>
      <c r="T23">
        <v>133.21130999999997</v>
      </c>
      <c r="U23">
        <v>0</v>
      </c>
      <c r="V23" s="3">
        <f t="shared" si="0"/>
        <v>683.86300000000006</v>
      </c>
      <c r="W23" s="3">
        <f t="shared" si="1"/>
        <v>683.86300000000006</v>
      </c>
      <c r="X23" s="3">
        <f t="shared" si="2"/>
        <v>0</v>
      </c>
    </row>
    <row r="24" spans="1:24" x14ac:dyDescent="0.15">
      <c r="A24" s="1" t="s">
        <v>22</v>
      </c>
      <c r="B24">
        <v>952.95431000000019</v>
      </c>
      <c r="C24">
        <v>104.29294</v>
      </c>
      <c r="D24">
        <v>0</v>
      </c>
      <c r="E24">
        <v>44.30545</v>
      </c>
      <c r="F24">
        <v>0</v>
      </c>
      <c r="G24">
        <v>0</v>
      </c>
      <c r="H24">
        <v>0</v>
      </c>
      <c r="J24">
        <v>0</v>
      </c>
      <c r="L24">
        <v>666.43481100000008</v>
      </c>
      <c r="N24">
        <v>21.753299999999999</v>
      </c>
      <c r="O24">
        <v>1051.7534129999999</v>
      </c>
      <c r="P24">
        <v>20.54888</v>
      </c>
      <c r="Q24">
        <v>27.910590000000003</v>
      </c>
      <c r="R24">
        <v>37.214120000000001</v>
      </c>
      <c r="S24">
        <v>64.461050000000014</v>
      </c>
      <c r="T24">
        <v>335.76027799999997</v>
      </c>
      <c r="U24">
        <v>0</v>
      </c>
      <c r="V24" s="3">
        <f t="shared" si="0"/>
        <v>1663.6945710000002</v>
      </c>
      <c r="W24" s="3">
        <f t="shared" si="1"/>
        <v>1663.6945709999995</v>
      </c>
      <c r="X24" s="3">
        <f t="shared" si="2"/>
        <v>0</v>
      </c>
    </row>
    <row r="25" spans="1:24" x14ac:dyDescent="0.15">
      <c r="A25" s="1" t="s">
        <v>23</v>
      </c>
      <c r="B25">
        <v>371.37044700000001</v>
      </c>
      <c r="C25">
        <v>465.07891740000002</v>
      </c>
      <c r="D25">
        <v>0</v>
      </c>
      <c r="E25">
        <v>0.12363740000000001</v>
      </c>
      <c r="F25">
        <v>0</v>
      </c>
      <c r="G25">
        <v>0</v>
      </c>
      <c r="H25">
        <v>0</v>
      </c>
      <c r="J25">
        <v>0</v>
      </c>
      <c r="L25">
        <v>1094.5564880000002</v>
      </c>
      <c r="N25">
        <v>6.5505700000000004</v>
      </c>
      <c r="O25">
        <v>783.17833500000017</v>
      </c>
      <c r="P25">
        <v>8.4432300000000016</v>
      </c>
      <c r="Q25">
        <v>24.530840000000001</v>
      </c>
      <c r="R25">
        <v>10.028640000000001</v>
      </c>
      <c r="S25">
        <v>19.49194</v>
      </c>
      <c r="T25">
        <v>148.74809999999994</v>
      </c>
      <c r="U25">
        <v>0</v>
      </c>
      <c r="V25" s="3">
        <f t="shared" si="0"/>
        <v>1466.0505724000002</v>
      </c>
      <c r="W25" s="3">
        <f t="shared" si="1"/>
        <v>1466.0505724000004</v>
      </c>
      <c r="X25" s="3">
        <f t="shared" si="2"/>
        <v>0</v>
      </c>
    </row>
    <row r="26" spans="1:24" x14ac:dyDescent="0.15">
      <c r="A26" s="1" t="s">
        <v>24</v>
      </c>
      <c r="B26">
        <v>529.64984000000004</v>
      </c>
      <c r="C26">
        <v>172.42870000000002</v>
      </c>
      <c r="D26">
        <v>31.413240000000002</v>
      </c>
      <c r="E26">
        <v>8.444492740966755</v>
      </c>
      <c r="F26">
        <v>0</v>
      </c>
      <c r="G26">
        <v>0</v>
      </c>
      <c r="H26">
        <v>0</v>
      </c>
      <c r="J26">
        <v>0</v>
      </c>
      <c r="L26">
        <v>611.8372700000001</v>
      </c>
      <c r="N26">
        <v>18.668510000000001</v>
      </c>
      <c r="O26">
        <v>675.34062174096675</v>
      </c>
      <c r="P26">
        <v>15.276470000000002</v>
      </c>
      <c r="Q26">
        <v>16.099900000000002</v>
      </c>
      <c r="R26">
        <v>13.445260000000001</v>
      </c>
      <c r="S26">
        <v>22.036311000000001</v>
      </c>
      <c r="T26">
        <v>185.22259000000003</v>
      </c>
      <c r="U26">
        <v>0</v>
      </c>
      <c r="V26" s="3">
        <f t="shared" si="0"/>
        <v>1149.9316027409668</v>
      </c>
      <c r="W26" s="3">
        <f t="shared" si="1"/>
        <v>1149.9316027409668</v>
      </c>
      <c r="X26" s="3">
        <f t="shared" si="2"/>
        <v>0</v>
      </c>
    </row>
    <row r="27" spans="1:24" x14ac:dyDescent="0.15">
      <c r="A27" s="1" t="s">
        <v>25</v>
      </c>
      <c r="B27">
        <v>106.54201</v>
      </c>
      <c r="C27">
        <v>246.68559399999998</v>
      </c>
      <c r="D27">
        <v>0</v>
      </c>
      <c r="E27">
        <v>0</v>
      </c>
      <c r="F27">
        <v>0</v>
      </c>
      <c r="G27">
        <v>0</v>
      </c>
      <c r="H27">
        <v>0</v>
      </c>
      <c r="J27">
        <v>0</v>
      </c>
      <c r="L27">
        <v>1053.6600000000001</v>
      </c>
      <c r="N27">
        <v>44.268580000000007</v>
      </c>
      <c r="O27">
        <v>543.26375600000006</v>
      </c>
      <c r="P27">
        <v>13.130020000000002</v>
      </c>
      <c r="Q27">
        <v>40.089979999999997</v>
      </c>
      <c r="R27">
        <v>21.642690000000002</v>
      </c>
      <c r="S27">
        <v>49.345530000000004</v>
      </c>
      <c r="T27">
        <v>201.77586000000011</v>
      </c>
      <c r="U27">
        <v>0</v>
      </c>
      <c r="V27" s="3">
        <f t="shared" si="0"/>
        <v>1160.20201</v>
      </c>
      <c r="W27" s="3">
        <f t="shared" si="1"/>
        <v>1160.2020100000002</v>
      </c>
      <c r="X27" s="3">
        <f t="shared" si="2"/>
        <v>0</v>
      </c>
    </row>
    <row r="28" spans="1:24" x14ac:dyDescent="0.15">
      <c r="A28" s="1" t="s">
        <v>26</v>
      </c>
      <c r="B28">
        <v>238.90531000000004</v>
      </c>
      <c r="C28">
        <v>4.9405799999999997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L28">
        <v>770.03708900000004</v>
      </c>
      <c r="N28">
        <v>64.706850000000003</v>
      </c>
      <c r="O28">
        <v>726.5313900000001</v>
      </c>
      <c r="P28">
        <v>5.4813400000000003</v>
      </c>
      <c r="Q28">
        <v>30.245690000000003</v>
      </c>
      <c r="R28">
        <v>9.364980000000001</v>
      </c>
      <c r="S28">
        <v>19.971250000000001</v>
      </c>
      <c r="T28">
        <v>147.70031900000004</v>
      </c>
      <c r="U28">
        <v>0</v>
      </c>
      <c r="V28" s="3">
        <f t="shared" si="0"/>
        <v>1008.942399</v>
      </c>
      <c r="W28" s="3">
        <f t="shared" si="1"/>
        <v>1008.9423990000001</v>
      </c>
      <c r="X28" s="3">
        <f t="shared" si="2"/>
        <v>0</v>
      </c>
    </row>
    <row r="29" spans="1:24" x14ac:dyDescent="0.15">
      <c r="A29" s="1" t="s">
        <v>27</v>
      </c>
      <c r="B29">
        <v>232.15674810000002</v>
      </c>
      <c r="C29">
        <v>42.658590000000004</v>
      </c>
      <c r="D29">
        <v>0</v>
      </c>
      <c r="E29">
        <v>61.231975277100041</v>
      </c>
      <c r="F29">
        <v>0</v>
      </c>
      <c r="G29">
        <v>0</v>
      </c>
      <c r="H29">
        <v>0</v>
      </c>
      <c r="J29">
        <v>0</v>
      </c>
      <c r="L29">
        <v>108.28904200000001</v>
      </c>
      <c r="N29">
        <v>0.88955020000000007</v>
      </c>
      <c r="O29">
        <v>322.98120000000006</v>
      </c>
      <c r="P29">
        <v>2.8144100000000001</v>
      </c>
      <c r="Q29">
        <v>1.2446083000000001</v>
      </c>
      <c r="R29">
        <v>3.0470597000000001</v>
      </c>
      <c r="S29">
        <v>6.7314788000000005</v>
      </c>
      <c r="T29">
        <v>21.310868499999987</v>
      </c>
      <c r="U29">
        <v>0</v>
      </c>
      <c r="V29" s="3">
        <f t="shared" si="0"/>
        <v>401.67776537710006</v>
      </c>
      <c r="W29" s="3">
        <f t="shared" si="1"/>
        <v>401.67776550000002</v>
      </c>
      <c r="X29" s="3">
        <f t="shared" si="2"/>
        <v>-1.2289996220715693E-7</v>
      </c>
    </row>
    <row r="30" spans="1:24" x14ac:dyDescent="0.15">
      <c r="A30" s="1" t="s">
        <v>28</v>
      </c>
      <c r="B30">
        <v>24.481680000000004</v>
      </c>
      <c r="C30">
        <v>24.395650000000003</v>
      </c>
      <c r="D30">
        <v>0</v>
      </c>
      <c r="E30">
        <v>10.398569000000043</v>
      </c>
      <c r="F30">
        <v>0</v>
      </c>
      <c r="G30">
        <v>0</v>
      </c>
      <c r="H30">
        <v>0</v>
      </c>
      <c r="J30">
        <v>0</v>
      </c>
      <c r="L30">
        <v>587.72731999999996</v>
      </c>
      <c r="N30">
        <v>12.73244</v>
      </c>
      <c r="O30">
        <v>489.88927899999999</v>
      </c>
      <c r="P30">
        <v>3.5594200000000003</v>
      </c>
      <c r="Q30">
        <v>8.7695509999999999</v>
      </c>
      <c r="R30">
        <v>10.268573999999999</v>
      </c>
      <c r="S30">
        <v>13.373405000000002</v>
      </c>
      <c r="T30">
        <v>59.619250000000022</v>
      </c>
      <c r="U30">
        <v>0</v>
      </c>
      <c r="V30" s="3">
        <f t="shared" si="0"/>
        <v>622.60756900000001</v>
      </c>
      <c r="W30" s="3">
        <f t="shared" si="1"/>
        <v>622.60756900000001</v>
      </c>
      <c r="X30" s="3">
        <f t="shared" si="2"/>
        <v>0</v>
      </c>
    </row>
    <row r="31" spans="1:24" x14ac:dyDescent="0.15">
      <c r="A31" s="1" t="s">
        <v>29</v>
      </c>
      <c r="B31">
        <v>79.553170000000009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919.67077199999994</v>
      </c>
      <c r="N31">
        <v>46.517650000000003</v>
      </c>
      <c r="O31">
        <v>625.45541900000012</v>
      </c>
      <c r="P31">
        <v>4.1313700000000004</v>
      </c>
      <c r="Q31">
        <v>14.816710000000002</v>
      </c>
      <c r="R31">
        <v>24.782500000000002</v>
      </c>
      <c r="S31">
        <v>28.252100000000006</v>
      </c>
      <c r="T31">
        <v>255.26819299999988</v>
      </c>
      <c r="U31">
        <v>0</v>
      </c>
      <c r="V31" s="3">
        <f t="shared" si="0"/>
        <v>999.22394199999997</v>
      </c>
      <c r="W31" s="3">
        <f t="shared" si="1"/>
        <v>999.22394200000008</v>
      </c>
      <c r="X31" s="3">
        <f t="shared" si="2"/>
        <v>0</v>
      </c>
    </row>
    <row r="32" spans="1:24" x14ac:dyDescent="0.15">
      <c r="O32">
        <f>SUM(O2:O31)</f>
        <v>36451.457022764727</v>
      </c>
    </row>
    <row r="33" spans="1:1" x14ac:dyDescent="0.15">
      <c r="A33" s="1" t="s">
        <v>49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3"/>
  <sheetViews>
    <sheetView tabSelected="1" zoomScale="70" zoomScaleNormal="70" workbookViewId="0">
      <selection activeCell="V2" sqref="V2"/>
    </sheetView>
  </sheetViews>
  <sheetFormatPr defaultRowHeight="13.5" x14ac:dyDescent="0.15"/>
  <sheetData>
    <row r="1" spans="1:24" x14ac:dyDescent="0.15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 x14ac:dyDescent="0.15">
      <c r="A2" s="1" t="s">
        <v>0</v>
      </c>
      <c r="B2" s="3">
        <v>4.8100000000000005</v>
      </c>
      <c r="C2">
        <v>6.0000000000000497E-2</v>
      </c>
      <c r="D2">
        <v>0</v>
      </c>
      <c r="E2">
        <v>8.61</v>
      </c>
      <c r="F2">
        <v>0</v>
      </c>
      <c r="G2">
        <v>0</v>
      </c>
      <c r="H2">
        <v>0</v>
      </c>
      <c r="J2">
        <v>0</v>
      </c>
      <c r="L2">
        <v>11.94</v>
      </c>
      <c r="N2">
        <v>0</v>
      </c>
      <c r="O2">
        <v>1.42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 s="3">
        <f>B2+E2+F2</f>
        <v>13.42</v>
      </c>
      <c r="W2" s="3">
        <f>C2+D2+SUM(G2:U2)</f>
        <v>13.42</v>
      </c>
      <c r="X2" s="3">
        <f>V2-W2</f>
        <v>0</v>
      </c>
    </row>
    <row r="3" spans="1:24" x14ac:dyDescent="0.15">
      <c r="A3" s="1" t="s">
        <v>1</v>
      </c>
      <c r="B3">
        <v>29.300000000000004</v>
      </c>
      <c r="C3">
        <v>0</v>
      </c>
      <c r="D3">
        <v>0</v>
      </c>
      <c r="E3">
        <v>8.629999999999999</v>
      </c>
      <c r="F3">
        <v>0</v>
      </c>
      <c r="G3">
        <v>0</v>
      </c>
      <c r="H3">
        <v>0</v>
      </c>
      <c r="J3">
        <v>0</v>
      </c>
      <c r="L3">
        <v>0</v>
      </c>
      <c r="N3">
        <v>0</v>
      </c>
      <c r="O3">
        <v>36.17</v>
      </c>
      <c r="P3">
        <v>0</v>
      </c>
      <c r="Q3">
        <v>0</v>
      </c>
      <c r="R3">
        <v>0</v>
      </c>
      <c r="S3">
        <v>0</v>
      </c>
      <c r="T3">
        <v>0</v>
      </c>
      <c r="U3">
        <v>1.76</v>
      </c>
      <c r="V3" s="3">
        <f t="shared" ref="V3:V31" si="0">B3+E3+F3</f>
        <v>37.930000000000007</v>
      </c>
      <c r="W3" s="3">
        <f t="shared" ref="W3:W31" si="1">C3+D3+SUM(G3:U3)</f>
        <v>37.93</v>
      </c>
      <c r="X3" s="3">
        <f t="shared" ref="X3:X31" si="2">V3-W3</f>
        <v>0</v>
      </c>
    </row>
    <row r="4" spans="1:24" x14ac:dyDescent="0.15">
      <c r="A4" s="1" t="s">
        <v>2</v>
      </c>
      <c r="B4">
        <v>218.84</v>
      </c>
      <c r="C4">
        <v>0</v>
      </c>
      <c r="D4">
        <v>0</v>
      </c>
      <c r="E4">
        <v>0</v>
      </c>
      <c r="F4">
        <v>0</v>
      </c>
      <c r="G4">
        <v>-0.18</v>
      </c>
      <c r="H4">
        <v>0</v>
      </c>
      <c r="J4">
        <v>0</v>
      </c>
      <c r="L4">
        <v>96.06</v>
      </c>
      <c r="N4">
        <v>0</v>
      </c>
      <c r="O4">
        <v>122.85</v>
      </c>
      <c r="P4">
        <v>0</v>
      </c>
      <c r="Q4">
        <v>0</v>
      </c>
      <c r="R4">
        <v>0</v>
      </c>
      <c r="S4">
        <v>0</v>
      </c>
      <c r="T4">
        <v>0</v>
      </c>
      <c r="U4">
        <v>0.11</v>
      </c>
      <c r="V4" s="3">
        <f t="shared" si="0"/>
        <v>218.84</v>
      </c>
      <c r="W4" s="3">
        <f t="shared" si="1"/>
        <v>218.84</v>
      </c>
      <c r="X4" s="3">
        <f t="shared" si="2"/>
        <v>0</v>
      </c>
    </row>
    <row r="5" spans="1:24" x14ac:dyDescent="0.15">
      <c r="A5" s="1" t="s">
        <v>3</v>
      </c>
      <c r="B5">
        <v>402.09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373.5</v>
      </c>
      <c r="N5">
        <v>0</v>
      </c>
      <c r="O5">
        <v>28.59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402.09</v>
      </c>
      <c r="W5" s="3">
        <f t="shared" si="1"/>
        <v>402.09</v>
      </c>
      <c r="X5" s="3">
        <f t="shared" si="2"/>
        <v>0</v>
      </c>
    </row>
    <row r="6" spans="1:24" x14ac:dyDescent="0.15">
      <c r="A6" s="1" t="s">
        <v>4</v>
      </c>
      <c r="B6">
        <v>93.731431000000015</v>
      </c>
      <c r="C6">
        <v>0</v>
      </c>
      <c r="D6">
        <v>0</v>
      </c>
      <c r="E6">
        <v>5.2644999999999857</v>
      </c>
      <c r="F6">
        <v>0</v>
      </c>
      <c r="G6">
        <v>0</v>
      </c>
      <c r="H6">
        <v>0</v>
      </c>
      <c r="J6">
        <v>0</v>
      </c>
      <c r="L6">
        <v>30.752343</v>
      </c>
      <c r="N6">
        <v>0</v>
      </c>
      <c r="O6">
        <v>53.757688000000009</v>
      </c>
      <c r="P6">
        <v>0</v>
      </c>
      <c r="Q6">
        <v>0</v>
      </c>
      <c r="R6">
        <v>0</v>
      </c>
      <c r="S6">
        <v>0</v>
      </c>
      <c r="T6">
        <v>0</v>
      </c>
      <c r="U6">
        <v>14.485900000000001</v>
      </c>
      <c r="V6" s="3">
        <f t="shared" si="0"/>
        <v>98.995930999999999</v>
      </c>
      <c r="W6" s="3">
        <f t="shared" si="1"/>
        <v>98.995931000000013</v>
      </c>
      <c r="X6" s="3">
        <f t="shared" si="2"/>
        <v>0</v>
      </c>
    </row>
    <row r="7" spans="1:24" x14ac:dyDescent="0.15">
      <c r="A7" s="2" t="s">
        <v>5</v>
      </c>
      <c r="B7">
        <v>124.33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J7">
        <v>0</v>
      </c>
      <c r="L7">
        <v>15.33</v>
      </c>
      <c r="N7">
        <v>0</v>
      </c>
      <c r="O7">
        <v>108.94</v>
      </c>
      <c r="P7">
        <v>0</v>
      </c>
      <c r="Q7">
        <v>0</v>
      </c>
      <c r="R7">
        <v>0</v>
      </c>
      <c r="S7">
        <v>0</v>
      </c>
      <c r="T7">
        <v>0</v>
      </c>
      <c r="U7">
        <v>0.06</v>
      </c>
      <c r="V7" s="3">
        <f t="shared" si="0"/>
        <v>124.33</v>
      </c>
      <c r="W7" s="3">
        <f t="shared" si="1"/>
        <v>124.33</v>
      </c>
      <c r="X7" s="3">
        <f t="shared" si="2"/>
        <v>0</v>
      </c>
    </row>
    <row r="8" spans="1:24" x14ac:dyDescent="0.15">
      <c r="A8" s="1" t="s">
        <v>6</v>
      </c>
      <c r="B8">
        <v>153.92000000000002</v>
      </c>
      <c r="C8">
        <v>0</v>
      </c>
      <c r="D8">
        <v>0</v>
      </c>
      <c r="E8">
        <v>7.64</v>
      </c>
      <c r="F8">
        <v>0</v>
      </c>
      <c r="G8">
        <v>0</v>
      </c>
      <c r="H8">
        <v>0</v>
      </c>
      <c r="J8">
        <v>0</v>
      </c>
      <c r="L8">
        <v>7.57</v>
      </c>
      <c r="N8">
        <v>0</v>
      </c>
      <c r="O8">
        <v>91.29</v>
      </c>
      <c r="P8">
        <v>0</v>
      </c>
      <c r="Q8">
        <v>0</v>
      </c>
      <c r="R8">
        <v>0</v>
      </c>
      <c r="S8">
        <v>0</v>
      </c>
      <c r="T8">
        <v>62.7</v>
      </c>
      <c r="U8">
        <v>0</v>
      </c>
      <c r="V8" s="3">
        <f t="shared" si="0"/>
        <v>161.56</v>
      </c>
      <c r="W8" s="3">
        <f t="shared" si="1"/>
        <v>161.56</v>
      </c>
      <c r="X8" s="3">
        <f t="shared" si="2"/>
        <v>0</v>
      </c>
    </row>
    <row r="9" spans="1:24" x14ac:dyDescent="0.15">
      <c r="A9" s="1" t="s">
        <v>7</v>
      </c>
      <c r="B9">
        <v>0.08</v>
      </c>
      <c r="C9">
        <v>0</v>
      </c>
      <c r="D9">
        <v>0</v>
      </c>
      <c r="E9">
        <v>120.51</v>
      </c>
      <c r="F9">
        <v>0</v>
      </c>
      <c r="G9">
        <v>-15.18</v>
      </c>
      <c r="H9">
        <v>0</v>
      </c>
      <c r="J9">
        <v>0</v>
      </c>
      <c r="L9">
        <v>58.06</v>
      </c>
      <c r="N9">
        <v>0</v>
      </c>
      <c r="O9">
        <v>77.67</v>
      </c>
      <c r="P9">
        <v>0</v>
      </c>
      <c r="Q9">
        <v>0</v>
      </c>
      <c r="R9">
        <v>0</v>
      </c>
      <c r="S9">
        <v>0</v>
      </c>
      <c r="T9">
        <v>0</v>
      </c>
      <c r="U9">
        <v>0.04</v>
      </c>
      <c r="V9" s="3">
        <f t="shared" si="0"/>
        <v>120.59</v>
      </c>
      <c r="W9" s="3">
        <f t="shared" si="1"/>
        <v>120.59000000000002</v>
      </c>
      <c r="X9" s="3">
        <f t="shared" si="2"/>
        <v>0</v>
      </c>
    </row>
    <row r="10" spans="1:24" x14ac:dyDescent="0.15">
      <c r="A10" s="1" t="s">
        <v>8</v>
      </c>
      <c r="B10">
        <v>10.119999999999999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J10">
        <v>0</v>
      </c>
      <c r="L10">
        <v>10.119999999999999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s="3">
        <f t="shared" si="0"/>
        <v>10.119999999999999</v>
      </c>
      <c r="W10" s="3">
        <f t="shared" si="1"/>
        <v>10.119999999999999</v>
      </c>
      <c r="X10" s="3">
        <f t="shared" si="2"/>
        <v>0</v>
      </c>
    </row>
    <row r="11" spans="1:24" x14ac:dyDescent="0.15">
      <c r="A11" s="1" t="s">
        <v>9</v>
      </c>
      <c r="B11">
        <v>39.380000000000003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J11">
        <v>0</v>
      </c>
      <c r="L11">
        <v>39.03</v>
      </c>
      <c r="N11">
        <v>0</v>
      </c>
      <c r="O11">
        <v>0.35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 s="3">
        <f t="shared" si="0"/>
        <v>39.380000000000003</v>
      </c>
      <c r="W11" s="3">
        <f t="shared" si="1"/>
        <v>39.380000000000003</v>
      </c>
      <c r="X11" s="3">
        <f t="shared" si="2"/>
        <v>0</v>
      </c>
    </row>
    <row r="12" spans="1:24" x14ac:dyDescent="0.15">
      <c r="A12" s="1" t="s">
        <v>10</v>
      </c>
      <c r="B12">
        <v>109.25</v>
      </c>
      <c r="C12">
        <v>3.3000000000011909E-3</v>
      </c>
      <c r="D12">
        <v>0</v>
      </c>
      <c r="E12">
        <v>0</v>
      </c>
      <c r="F12">
        <v>0</v>
      </c>
      <c r="G12">
        <v>0</v>
      </c>
      <c r="H12">
        <v>0</v>
      </c>
      <c r="J12">
        <v>0</v>
      </c>
      <c r="L12">
        <v>48.728499999999997</v>
      </c>
      <c r="N12">
        <v>0</v>
      </c>
      <c r="O12">
        <v>60.5182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 s="3">
        <f t="shared" si="0"/>
        <v>109.25</v>
      </c>
      <c r="W12" s="3">
        <f t="shared" si="1"/>
        <v>109.25</v>
      </c>
      <c r="X12" s="3">
        <f t="shared" si="2"/>
        <v>0</v>
      </c>
    </row>
    <row r="13" spans="1:24" x14ac:dyDescent="0.15">
      <c r="A13" s="1" t="s">
        <v>11</v>
      </c>
      <c r="B13">
        <v>7.9700000000000006</v>
      </c>
      <c r="C13">
        <v>0.34000000000000075</v>
      </c>
      <c r="D13">
        <v>0</v>
      </c>
      <c r="E13">
        <v>0</v>
      </c>
      <c r="F13">
        <v>0</v>
      </c>
      <c r="G13">
        <v>0</v>
      </c>
      <c r="H13">
        <v>0</v>
      </c>
      <c r="J13">
        <v>0</v>
      </c>
      <c r="L13">
        <v>7.52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0.11</v>
      </c>
      <c r="V13" s="3">
        <f t="shared" si="0"/>
        <v>7.9700000000000006</v>
      </c>
      <c r="W13" s="3">
        <f t="shared" si="1"/>
        <v>7.9700000000000006</v>
      </c>
      <c r="X13" s="3">
        <f t="shared" si="2"/>
        <v>0</v>
      </c>
    </row>
    <row r="14" spans="1:24" x14ac:dyDescent="0.15">
      <c r="A14" s="1" t="s">
        <v>12</v>
      </c>
      <c r="B14">
        <v>94.77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J14">
        <v>0</v>
      </c>
      <c r="L14">
        <v>13.64</v>
      </c>
      <c r="N14">
        <v>0</v>
      </c>
      <c r="O14">
        <v>81.13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94.77</v>
      </c>
      <c r="W14" s="3">
        <f t="shared" si="1"/>
        <v>94.77</v>
      </c>
      <c r="X14" s="3">
        <f t="shared" si="2"/>
        <v>0</v>
      </c>
    </row>
    <row r="15" spans="1:24" x14ac:dyDescent="0.15">
      <c r="A15" s="1" t="s">
        <v>13</v>
      </c>
      <c r="B15">
        <v>72.599999999999994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J15">
        <v>0</v>
      </c>
      <c r="L15">
        <v>25.6</v>
      </c>
      <c r="N15">
        <v>0</v>
      </c>
      <c r="O15">
        <v>47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 s="3">
        <f t="shared" si="0"/>
        <v>72.599999999999994</v>
      </c>
      <c r="W15" s="3">
        <f t="shared" si="1"/>
        <v>72.599999999999994</v>
      </c>
      <c r="X15" s="3">
        <f t="shared" si="2"/>
        <v>0</v>
      </c>
    </row>
    <row r="16" spans="1:24" x14ac:dyDescent="0.15">
      <c r="A16" s="1" t="s">
        <v>14</v>
      </c>
      <c r="B16">
        <v>82.857651000000004</v>
      </c>
      <c r="C16">
        <v>0</v>
      </c>
      <c r="D16">
        <v>0</v>
      </c>
      <c r="E16">
        <v>198.59573400000005</v>
      </c>
      <c r="F16">
        <v>0</v>
      </c>
      <c r="G16">
        <v>0</v>
      </c>
      <c r="H16">
        <v>0</v>
      </c>
      <c r="J16">
        <v>0</v>
      </c>
      <c r="L16">
        <v>225.75480900000002</v>
      </c>
      <c r="N16">
        <v>0</v>
      </c>
      <c r="O16">
        <v>54.773588000000046</v>
      </c>
      <c r="P16">
        <v>0</v>
      </c>
      <c r="Q16">
        <v>0</v>
      </c>
      <c r="R16">
        <v>0</v>
      </c>
      <c r="S16">
        <v>0</v>
      </c>
      <c r="T16">
        <v>0</v>
      </c>
      <c r="U16">
        <v>0.92498800000000003</v>
      </c>
      <c r="V16" s="3">
        <f t="shared" si="0"/>
        <v>281.45338500000003</v>
      </c>
      <c r="W16" s="3">
        <f t="shared" si="1"/>
        <v>281.45338500000003</v>
      </c>
      <c r="X16" s="3">
        <f t="shared" si="2"/>
        <v>0</v>
      </c>
    </row>
    <row r="17" spans="1:24" x14ac:dyDescent="0.15">
      <c r="A17" s="1" t="s">
        <v>15</v>
      </c>
      <c r="B17">
        <v>25.16</v>
      </c>
      <c r="C17">
        <v>0</v>
      </c>
      <c r="D17">
        <v>0</v>
      </c>
      <c r="E17">
        <v>88.91</v>
      </c>
      <c r="F17">
        <v>0</v>
      </c>
      <c r="G17">
        <v>0</v>
      </c>
      <c r="H17">
        <v>0</v>
      </c>
      <c r="J17">
        <v>0</v>
      </c>
      <c r="L17">
        <v>72.400000000000006</v>
      </c>
      <c r="N17">
        <v>0</v>
      </c>
      <c r="O17">
        <v>41.67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s="3">
        <f t="shared" si="0"/>
        <v>114.07</v>
      </c>
      <c r="W17" s="3">
        <f t="shared" si="1"/>
        <v>114.07000000000001</v>
      </c>
      <c r="X17" s="3">
        <f t="shared" si="2"/>
        <v>0</v>
      </c>
    </row>
    <row r="18" spans="1:24" x14ac:dyDescent="0.15">
      <c r="A18" s="1" t="s">
        <v>16</v>
      </c>
      <c r="B18">
        <v>0</v>
      </c>
      <c r="C18">
        <v>0</v>
      </c>
      <c r="D18">
        <v>0</v>
      </c>
      <c r="E18">
        <v>197.9</v>
      </c>
      <c r="F18">
        <v>0</v>
      </c>
      <c r="G18">
        <v>0</v>
      </c>
      <c r="H18">
        <v>0</v>
      </c>
      <c r="J18">
        <v>0</v>
      </c>
      <c r="L18">
        <v>35.950000000000003</v>
      </c>
      <c r="N18">
        <v>0</v>
      </c>
      <c r="O18">
        <v>161.94999999999999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 s="3">
        <f t="shared" si="0"/>
        <v>197.9</v>
      </c>
      <c r="W18" s="3">
        <f t="shared" si="1"/>
        <v>197.89999999999998</v>
      </c>
      <c r="X18" s="3">
        <f t="shared" si="2"/>
        <v>0</v>
      </c>
    </row>
    <row r="19" spans="1:24" x14ac:dyDescent="0.15">
      <c r="A19" s="1" t="s">
        <v>17</v>
      </c>
      <c r="B19">
        <v>208.01</v>
      </c>
      <c r="C19">
        <v>0</v>
      </c>
      <c r="D19">
        <v>0</v>
      </c>
      <c r="E19">
        <v>41.72</v>
      </c>
      <c r="F19">
        <v>0</v>
      </c>
      <c r="G19">
        <v>-1.47</v>
      </c>
      <c r="H19">
        <v>0</v>
      </c>
      <c r="J19">
        <v>0</v>
      </c>
      <c r="L19">
        <v>29.46</v>
      </c>
      <c r="N19">
        <v>5.2</v>
      </c>
      <c r="O19">
        <v>79.209999999999994</v>
      </c>
      <c r="P19">
        <v>0</v>
      </c>
      <c r="Q19">
        <v>0</v>
      </c>
      <c r="R19">
        <v>0</v>
      </c>
      <c r="S19">
        <v>0</v>
      </c>
      <c r="T19">
        <v>137.26</v>
      </c>
      <c r="U19">
        <v>7.0000000000000007E-2</v>
      </c>
      <c r="V19" s="3">
        <f t="shared" si="0"/>
        <v>249.73</v>
      </c>
      <c r="W19" s="3">
        <f t="shared" si="1"/>
        <v>249.73</v>
      </c>
      <c r="X19" s="3">
        <f t="shared" si="2"/>
        <v>0</v>
      </c>
    </row>
    <row r="20" spans="1:24" x14ac:dyDescent="0.15">
      <c r="A20" s="1" t="s">
        <v>18</v>
      </c>
      <c r="B20">
        <v>2.7299999999999942</v>
      </c>
      <c r="C20">
        <v>0</v>
      </c>
      <c r="D20">
        <v>0</v>
      </c>
      <c r="E20">
        <v>160.63</v>
      </c>
      <c r="F20">
        <v>0</v>
      </c>
      <c r="G20">
        <v>0</v>
      </c>
      <c r="H20">
        <v>0</v>
      </c>
      <c r="J20">
        <v>0</v>
      </c>
      <c r="L20">
        <v>119.5</v>
      </c>
      <c r="N20">
        <v>0</v>
      </c>
      <c r="O20">
        <v>41.23</v>
      </c>
      <c r="P20">
        <v>0</v>
      </c>
      <c r="Q20">
        <v>0</v>
      </c>
      <c r="R20">
        <v>0</v>
      </c>
      <c r="S20">
        <v>0</v>
      </c>
      <c r="T20">
        <v>0</v>
      </c>
      <c r="U20">
        <v>2.63</v>
      </c>
      <c r="V20" s="3">
        <f t="shared" si="0"/>
        <v>163.35999999999999</v>
      </c>
      <c r="W20" s="3">
        <f t="shared" si="1"/>
        <v>163.35999999999999</v>
      </c>
      <c r="X20" s="3">
        <f t="shared" si="2"/>
        <v>0</v>
      </c>
    </row>
    <row r="21" spans="1:24" x14ac:dyDescent="0.15">
      <c r="A21" s="1" t="s">
        <v>19</v>
      </c>
      <c r="B21">
        <v>301.14999999999998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J21">
        <v>0</v>
      </c>
      <c r="L21">
        <v>94.18</v>
      </c>
      <c r="N21">
        <v>0</v>
      </c>
      <c r="O21">
        <v>202.47</v>
      </c>
      <c r="P21">
        <v>0</v>
      </c>
      <c r="Q21">
        <v>0</v>
      </c>
      <c r="R21">
        <v>0</v>
      </c>
      <c r="S21">
        <v>0</v>
      </c>
      <c r="T21">
        <v>4.5</v>
      </c>
      <c r="U21">
        <v>0</v>
      </c>
      <c r="V21" s="3">
        <f t="shared" si="0"/>
        <v>301.14999999999998</v>
      </c>
      <c r="W21" s="3">
        <f t="shared" si="1"/>
        <v>301.14999999999998</v>
      </c>
      <c r="X21" s="3">
        <f t="shared" si="2"/>
        <v>0</v>
      </c>
    </row>
    <row r="22" spans="1:24" x14ac:dyDescent="0.15">
      <c r="A22" s="1" t="s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J22">
        <v>0</v>
      </c>
      <c r="L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s="3">
        <f t="shared" si="0"/>
        <v>0</v>
      </c>
      <c r="W22" s="3">
        <f t="shared" si="1"/>
        <v>0</v>
      </c>
      <c r="X22" s="3">
        <f t="shared" si="2"/>
        <v>0</v>
      </c>
    </row>
    <row r="23" spans="1:24" x14ac:dyDescent="0.15">
      <c r="A23" s="1" t="s">
        <v>21</v>
      </c>
      <c r="B23">
        <v>428.65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J23">
        <v>0</v>
      </c>
      <c r="L23">
        <v>23.21</v>
      </c>
      <c r="N23">
        <v>0</v>
      </c>
      <c r="O23">
        <v>402.13</v>
      </c>
      <c r="P23">
        <v>0</v>
      </c>
      <c r="Q23">
        <v>0</v>
      </c>
      <c r="R23">
        <v>0</v>
      </c>
      <c r="S23">
        <v>0</v>
      </c>
      <c r="T23">
        <v>0</v>
      </c>
      <c r="U23">
        <v>3.31</v>
      </c>
      <c r="V23" s="3">
        <f t="shared" si="0"/>
        <v>428.65</v>
      </c>
      <c r="W23" s="3">
        <f t="shared" si="1"/>
        <v>428.65</v>
      </c>
      <c r="X23" s="3">
        <f t="shared" si="2"/>
        <v>0</v>
      </c>
    </row>
    <row r="24" spans="1:24" x14ac:dyDescent="0.15">
      <c r="A24" s="1" t="s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J24">
        <v>0</v>
      </c>
      <c r="L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0</v>
      </c>
      <c r="W24" s="3">
        <f t="shared" si="1"/>
        <v>0</v>
      </c>
      <c r="X24" s="3">
        <f t="shared" si="2"/>
        <v>0</v>
      </c>
    </row>
    <row r="25" spans="1:24" x14ac:dyDescent="0.15">
      <c r="A25" s="1" t="s">
        <v>23</v>
      </c>
      <c r="B25">
        <v>44.1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L25">
        <v>44.1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44.1</v>
      </c>
      <c r="W25" s="3">
        <f t="shared" si="1"/>
        <v>44.1</v>
      </c>
      <c r="X25" s="3">
        <f t="shared" si="2"/>
        <v>0</v>
      </c>
    </row>
    <row r="26" spans="1:24" x14ac:dyDescent="0.15">
      <c r="A26" s="1" t="s">
        <v>24</v>
      </c>
      <c r="B26">
        <v>200.85720000000001</v>
      </c>
      <c r="C26">
        <v>0</v>
      </c>
      <c r="D26">
        <v>0</v>
      </c>
      <c r="E26">
        <v>3.735000000006039E-3</v>
      </c>
      <c r="F26">
        <v>0</v>
      </c>
      <c r="G26">
        <v>0</v>
      </c>
      <c r="H26">
        <v>0</v>
      </c>
      <c r="J26">
        <v>0</v>
      </c>
      <c r="L26">
        <v>50.302135999999997</v>
      </c>
      <c r="N26">
        <v>21.66</v>
      </c>
      <c r="O26">
        <v>82.688799000000003</v>
      </c>
      <c r="P26">
        <v>0</v>
      </c>
      <c r="Q26">
        <v>0</v>
      </c>
      <c r="R26">
        <v>0</v>
      </c>
      <c r="S26">
        <v>0</v>
      </c>
      <c r="T26">
        <v>43.470000000000013</v>
      </c>
      <c r="U26">
        <v>2.74</v>
      </c>
      <c r="V26" s="3">
        <f t="shared" si="0"/>
        <v>200.86093500000001</v>
      </c>
      <c r="W26" s="3">
        <f t="shared" si="1"/>
        <v>200.86093500000004</v>
      </c>
      <c r="X26" s="3">
        <f t="shared" si="2"/>
        <v>0</v>
      </c>
    </row>
    <row r="27" spans="1:24" x14ac:dyDescent="0.15">
      <c r="A27" s="1" t="s">
        <v>25</v>
      </c>
      <c r="B27">
        <v>180</v>
      </c>
      <c r="C27">
        <v>0</v>
      </c>
      <c r="D27">
        <v>0</v>
      </c>
      <c r="E27">
        <v>2.2899999999999903</v>
      </c>
      <c r="F27">
        <v>0</v>
      </c>
      <c r="G27">
        <v>-12.47</v>
      </c>
      <c r="H27">
        <v>0</v>
      </c>
      <c r="J27">
        <v>0</v>
      </c>
      <c r="L27">
        <v>94.36</v>
      </c>
      <c r="N27">
        <v>0</v>
      </c>
      <c r="O27">
        <v>97.51</v>
      </c>
      <c r="P27">
        <v>0</v>
      </c>
      <c r="Q27">
        <v>0</v>
      </c>
      <c r="R27">
        <v>0</v>
      </c>
      <c r="S27">
        <v>0</v>
      </c>
      <c r="T27">
        <v>0</v>
      </c>
      <c r="U27">
        <v>2.89</v>
      </c>
      <c r="V27" s="3">
        <f t="shared" si="0"/>
        <v>182.29</v>
      </c>
      <c r="W27" s="3">
        <f t="shared" si="1"/>
        <v>182.29</v>
      </c>
      <c r="X27" s="3">
        <f t="shared" si="2"/>
        <v>0</v>
      </c>
    </row>
    <row r="28" spans="1:24" x14ac:dyDescent="0.15">
      <c r="A28" s="1" t="s">
        <v>26</v>
      </c>
      <c r="B28">
        <v>128.37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L28">
        <v>10.67</v>
      </c>
      <c r="N28">
        <v>3.1</v>
      </c>
      <c r="O28">
        <v>110.6</v>
      </c>
      <c r="P28">
        <v>4</v>
      </c>
      <c r="Q28">
        <v>0</v>
      </c>
      <c r="R28">
        <v>0</v>
      </c>
      <c r="S28">
        <v>0</v>
      </c>
      <c r="T28">
        <v>0</v>
      </c>
      <c r="U28">
        <v>0</v>
      </c>
      <c r="V28" s="3">
        <f t="shared" si="0"/>
        <v>128.37</v>
      </c>
      <c r="W28" s="3">
        <f t="shared" si="1"/>
        <v>128.37</v>
      </c>
      <c r="X28" s="3">
        <f t="shared" si="2"/>
        <v>0</v>
      </c>
    </row>
    <row r="29" spans="1:24" x14ac:dyDescent="0.15">
      <c r="A29" s="1" t="s">
        <v>27</v>
      </c>
      <c r="B29">
        <v>0</v>
      </c>
      <c r="C29">
        <v>5.1000000000023249E-4</v>
      </c>
      <c r="D29">
        <v>0</v>
      </c>
      <c r="E29">
        <v>1.6</v>
      </c>
      <c r="F29">
        <v>0</v>
      </c>
      <c r="G29">
        <v>0</v>
      </c>
      <c r="H29">
        <v>0</v>
      </c>
      <c r="J29">
        <v>0</v>
      </c>
      <c r="L29">
        <v>0</v>
      </c>
      <c r="N29">
        <v>0</v>
      </c>
      <c r="O29">
        <v>1.5994999999999999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s="3">
        <f t="shared" si="0"/>
        <v>1.6</v>
      </c>
      <c r="W29" s="3">
        <f t="shared" si="1"/>
        <v>1.6000100000000002</v>
      </c>
      <c r="X29" s="3">
        <f t="shared" si="2"/>
        <v>-1.0000000000065512E-5</v>
      </c>
    </row>
    <row r="30" spans="1:24" x14ac:dyDescent="0.15">
      <c r="A30" s="1" t="s">
        <v>28</v>
      </c>
      <c r="B30">
        <v>0</v>
      </c>
      <c r="C30">
        <v>0</v>
      </c>
      <c r="D30">
        <v>0</v>
      </c>
      <c r="E30">
        <v>158.07</v>
      </c>
      <c r="F30">
        <v>0</v>
      </c>
      <c r="G30">
        <v>0</v>
      </c>
      <c r="H30">
        <v>0</v>
      </c>
      <c r="J30">
        <v>0</v>
      </c>
      <c r="L30">
        <v>0</v>
      </c>
      <c r="N30">
        <v>0</v>
      </c>
      <c r="O30">
        <v>158.07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s="3">
        <f t="shared" si="0"/>
        <v>158.07</v>
      </c>
      <c r="W30" s="3">
        <f t="shared" si="1"/>
        <v>158.07</v>
      </c>
      <c r="X30" s="3">
        <f t="shared" si="2"/>
        <v>0</v>
      </c>
    </row>
    <row r="31" spans="1:24" x14ac:dyDescent="0.15">
      <c r="A31" s="1" t="s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 s="3">
        <f t="shared" si="0"/>
        <v>0</v>
      </c>
      <c r="W31" s="3">
        <f t="shared" si="1"/>
        <v>0</v>
      </c>
      <c r="X31" s="3">
        <f t="shared" si="2"/>
        <v>0</v>
      </c>
    </row>
    <row r="32" spans="1:24" x14ac:dyDescent="0.15">
      <c r="O32">
        <f>SUM(O2:O31)</f>
        <v>2143.587775</v>
      </c>
    </row>
    <row r="33" spans="1:1" x14ac:dyDescent="0.15">
      <c r="A33" s="1" t="s">
        <v>49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topLeftCell="A10" workbookViewId="0">
      <selection activeCell="C43" sqref="C43"/>
    </sheetView>
  </sheetViews>
  <sheetFormatPr defaultRowHeight="13.5" x14ac:dyDescent="0.15"/>
  <cols>
    <col min="1" max="1" width="27.875" customWidth="1"/>
    <col min="2" max="2" width="43.875" customWidth="1"/>
    <col min="3" max="3" width="39.125" customWidth="1"/>
  </cols>
  <sheetData>
    <row r="1" spans="1:5" ht="20.25" x14ac:dyDescent="0.15">
      <c r="A1" s="21" t="s">
        <v>50</v>
      </c>
      <c r="B1" s="21"/>
      <c r="C1" s="21"/>
    </row>
    <row r="2" spans="1:5" ht="14.25" thickBot="1" x14ac:dyDescent="0.2">
      <c r="A2" s="4"/>
      <c r="B2" s="4"/>
      <c r="C2" s="4"/>
    </row>
    <row r="3" spans="1:5" x14ac:dyDescent="0.15">
      <c r="A3" s="5" t="s">
        <v>51</v>
      </c>
      <c r="B3" s="6" t="s">
        <v>52</v>
      </c>
      <c r="C3" s="7" t="s">
        <v>53</v>
      </c>
      <c r="E3" s="20" t="s">
        <v>159</v>
      </c>
    </row>
    <row r="4" spans="1:5" x14ac:dyDescent="0.15">
      <c r="A4" s="8"/>
      <c r="B4" s="9"/>
      <c r="C4" s="10"/>
    </row>
    <row r="5" spans="1:5" x14ac:dyDescent="0.15">
      <c r="A5" s="8" t="s">
        <v>54</v>
      </c>
      <c r="B5" s="11" t="s">
        <v>87</v>
      </c>
      <c r="C5" s="12" t="s">
        <v>88</v>
      </c>
      <c r="D5" t="str">
        <f>MID(C5,1,6)</f>
        <v>0.7143</v>
      </c>
      <c r="E5" s="17">
        <v>0.7248</v>
      </c>
    </row>
    <row r="6" spans="1:5" x14ac:dyDescent="0.15">
      <c r="A6" s="8" t="s">
        <v>89</v>
      </c>
      <c r="B6" s="11" t="s">
        <v>90</v>
      </c>
      <c r="C6" s="12" t="s">
        <v>91</v>
      </c>
      <c r="D6" t="str">
        <f t="shared" ref="D6:D47" si="0">MID(C6,1,6)</f>
        <v>0.9000</v>
      </c>
      <c r="E6" s="16">
        <v>0.9</v>
      </c>
    </row>
    <row r="7" spans="1:5" x14ac:dyDescent="0.15">
      <c r="A7" s="8" t="s">
        <v>55</v>
      </c>
      <c r="B7" s="11"/>
      <c r="C7" s="12"/>
      <c r="D7" t="str">
        <f t="shared" si="0"/>
        <v/>
      </c>
      <c r="E7" t="s">
        <v>154</v>
      </c>
    </row>
    <row r="8" spans="1:5" x14ac:dyDescent="0.15">
      <c r="A8" s="8" t="s">
        <v>56</v>
      </c>
      <c r="B8" s="11" t="s">
        <v>92</v>
      </c>
      <c r="C8" s="12" t="s">
        <v>93</v>
      </c>
      <c r="D8" t="str">
        <f t="shared" si="0"/>
        <v>0.2857</v>
      </c>
      <c r="E8" s="17">
        <v>0.5252</v>
      </c>
    </row>
    <row r="9" spans="1:5" x14ac:dyDescent="0.15">
      <c r="A9" s="8" t="s">
        <v>57</v>
      </c>
      <c r="B9" s="11" t="s">
        <v>94</v>
      </c>
      <c r="C9" s="12" t="s">
        <v>95</v>
      </c>
      <c r="D9" t="str">
        <f t="shared" si="0"/>
        <v>0.2857</v>
      </c>
      <c r="E9" s="16">
        <v>0.35720000000000002</v>
      </c>
    </row>
    <row r="10" spans="1:5" x14ac:dyDescent="0.15">
      <c r="A10" s="8" t="s">
        <v>155</v>
      </c>
      <c r="B10" s="11"/>
      <c r="C10" s="12"/>
      <c r="E10" s="17">
        <v>0.6</v>
      </c>
    </row>
    <row r="11" spans="1:5" x14ac:dyDescent="0.15">
      <c r="A11" s="8" t="s">
        <v>58</v>
      </c>
      <c r="B11" s="11" t="s">
        <v>96</v>
      </c>
      <c r="C11" s="12" t="s">
        <v>97</v>
      </c>
      <c r="D11" t="str">
        <f t="shared" si="0"/>
        <v>0.9714</v>
      </c>
      <c r="E11" s="16">
        <v>0.97140000000000004</v>
      </c>
    </row>
    <row r="12" spans="1:5" x14ac:dyDescent="0.15">
      <c r="A12" s="8" t="s">
        <v>59</v>
      </c>
      <c r="B12" s="11" t="s">
        <v>98</v>
      </c>
      <c r="C12" s="12" t="s">
        <v>99</v>
      </c>
      <c r="D12" t="str">
        <f t="shared" si="0"/>
        <v>1.4286</v>
      </c>
      <c r="E12" s="16">
        <v>1.4286000000000001</v>
      </c>
    </row>
    <row r="13" spans="1:5" x14ac:dyDescent="0.15">
      <c r="A13" s="8" t="s">
        <v>100</v>
      </c>
      <c r="B13" s="11" t="s">
        <v>98</v>
      </c>
      <c r="C13" s="12" t="s">
        <v>99</v>
      </c>
      <c r="D13" t="str">
        <f t="shared" si="0"/>
        <v>1.4286</v>
      </c>
      <c r="E13" s="16">
        <v>1.4286000000000001</v>
      </c>
    </row>
    <row r="14" spans="1:5" x14ac:dyDescent="0.15">
      <c r="A14" s="8" t="s">
        <v>60</v>
      </c>
      <c r="B14" s="11" t="s">
        <v>101</v>
      </c>
      <c r="C14" s="12" t="s">
        <v>102</v>
      </c>
      <c r="D14" t="str">
        <f t="shared" si="0"/>
        <v>1.4714</v>
      </c>
      <c r="E14" s="16">
        <v>1.4714</v>
      </c>
    </row>
    <row r="15" spans="1:5" x14ac:dyDescent="0.15">
      <c r="A15" s="8" t="s">
        <v>61</v>
      </c>
      <c r="B15" s="11" t="s">
        <v>101</v>
      </c>
      <c r="C15" s="12" t="s">
        <v>102</v>
      </c>
      <c r="D15" t="str">
        <f t="shared" si="0"/>
        <v>1.4714</v>
      </c>
      <c r="E15" s="16">
        <v>1.4714</v>
      </c>
    </row>
    <row r="16" spans="1:5" x14ac:dyDescent="0.15">
      <c r="A16" s="8" t="s">
        <v>62</v>
      </c>
      <c r="B16" s="11" t="s">
        <v>103</v>
      </c>
      <c r="C16" s="12" t="s">
        <v>104</v>
      </c>
      <c r="D16" t="str">
        <f t="shared" si="0"/>
        <v>1.4571</v>
      </c>
      <c r="E16" s="16">
        <v>1.4571000000000001</v>
      </c>
    </row>
    <row r="17" spans="1:5" x14ac:dyDescent="0.15">
      <c r="A17" s="8" t="s">
        <v>63</v>
      </c>
      <c r="B17" s="11" t="s">
        <v>105</v>
      </c>
      <c r="C17" s="12" t="s">
        <v>106</v>
      </c>
      <c r="D17" t="str">
        <f t="shared" si="0"/>
        <v>1.7143</v>
      </c>
      <c r="E17" s="16">
        <v>1.7142999999999999</v>
      </c>
    </row>
    <row r="18" spans="1:5" x14ac:dyDescent="0.15">
      <c r="A18" s="8" t="s">
        <v>64</v>
      </c>
      <c r="B18" s="11" t="s">
        <v>107</v>
      </c>
      <c r="C18" s="12" t="s">
        <v>108</v>
      </c>
      <c r="D18" t="str">
        <f t="shared" si="0"/>
        <v>1.5714</v>
      </c>
      <c r="E18" s="16">
        <v>1.5713999999999999</v>
      </c>
    </row>
    <row r="19" spans="1:5" x14ac:dyDescent="0.15">
      <c r="A19" s="8" t="s">
        <v>109</v>
      </c>
      <c r="B19" s="11" t="s">
        <v>110</v>
      </c>
      <c r="C19" s="12" t="s">
        <v>111</v>
      </c>
      <c r="D19" t="str">
        <f t="shared" si="0"/>
        <v>1.3300</v>
      </c>
      <c r="E19" s="16">
        <v>13.3</v>
      </c>
    </row>
    <row r="20" spans="1:5" x14ac:dyDescent="0.15">
      <c r="A20" s="8" t="s">
        <v>65</v>
      </c>
      <c r="B20" s="11" t="s">
        <v>112</v>
      </c>
      <c r="C20" s="12" t="s">
        <v>113</v>
      </c>
      <c r="D20" t="str">
        <f t="shared" si="0"/>
        <v>0.5714</v>
      </c>
      <c r="E20" s="17">
        <v>6.1429999999999998</v>
      </c>
    </row>
    <row r="21" spans="1:5" x14ac:dyDescent="0.15">
      <c r="A21" s="18" t="s">
        <v>66</v>
      </c>
      <c r="B21" s="11"/>
      <c r="C21" s="12"/>
      <c r="D21" t="str">
        <f t="shared" si="0"/>
        <v/>
      </c>
      <c r="E21" t="s">
        <v>154</v>
      </c>
    </row>
    <row r="22" spans="1:5" x14ac:dyDescent="0.15">
      <c r="A22" s="8" t="s">
        <v>114</v>
      </c>
      <c r="B22" s="11" t="s">
        <v>115</v>
      </c>
      <c r="C22" s="12" t="s">
        <v>116</v>
      </c>
      <c r="D22" t="str">
        <f t="shared" si="0"/>
        <v>0.1786</v>
      </c>
      <c r="E22" s="16">
        <v>0.17860000000000001</v>
      </c>
    </row>
    <row r="23" spans="1:5" x14ac:dyDescent="0.15">
      <c r="A23" s="8" t="s">
        <v>67</v>
      </c>
      <c r="B23" s="11" t="s">
        <v>117</v>
      </c>
      <c r="C23" s="12" t="s">
        <v>118</v>
      </c>
      <c r="D23" t="str">
        <f t="shared" si="0"/>
        <v>0.6571</v>
      </c>
      <c r="E23" s="16">
        <v>0.65710000000000002</v>
      </c>
    </row>
    <row r="24" spans="1:5" x14ac:dyDescent="0.15">
      <c r="A24" s="8" t="s">
        <v>68</v>
      </c>
      <c r="B24" s="11" t="s">
        <v>119</v>
      </c>
      <c r="C24" s="12" t="s">
        <v>120</v>
      </c>
      <c r="D24" t="str">
        <f t="shared" si="0"/>
        <v>1.2143</v>
      </c>
      <c r="E24" s="16">
        <v>1.2142999999999999</v>
      </c>
    </row>
    <row r="25" spans="1:5" x14ac:dyDescent="0.15">
      <c r="A25" s="8" t="s">
        <v>121</v>
      </c>
      <c r="B25" s="11" t="s">
        <v>122</v>
      </c>
      <c r="C25" s="12" t="s">
        <v>123</v>
      </c>
      <c r="D25" t="str">
        <f t="shared" si="0"/>
        <v>0.5571</v>
      </c>
      <c r="E25" s="16">
        <v>0.55710000000000004</v>
      </c>
    </row>
    <row r="26" spans="1:5" x14ac:dyDescent="0.15">
      <c r="A26" s="8" t="s">
        <v>69</v>
      </c>
      <c r="B26" s="11" t="s">
        <v>124</v>
      </c>
      <c r="C26" s="12" t="s">
        <v>125</v>
      </c>
      <c r="D26" t="str">
        <f t="shared" si="0"/>
        <v>0.5143</v>
      </c>
      <c r="E26" s="16">
        <v>0.51429999999999998</v>
      </c>
    </row>
    <row r="27" spans="1:5" x14ac:dyDescent="0.15">
      <c r="A27" s="8" t="s">
        <v>70</v>
      </c>
      <c r="B27" s="11" t="s">
        <v>126</v>
      </c>
      <c r="C27" s="12" t="s">
        <v>127</v>
      </c>
      <c r="D27" t="str">
        <f t="shared" si="0"/>
        <v>0.3571</v>
      </c>
      <c r="E27" s="17">
        <v>2.8759999999999999</v>
      </c>
    </row>
    <row r="28" spans="1:5" x14ac:dyDescent="0.15">
      <c r="A28" s="8" t="s">
        <v>71</v>
      </c>
      <c r="B28" s="11" t="s">
        <v>128</v>
      </c>
      <c r="C28" s="12" t="s">
        <v>129</v>
      </c>
      <c r="D28" t="str">
        <f t="shared" si="0"/>
        <v>1.1429</v>
      </c>
      <c r="E28" s="16">
        <v>1.1429</v>
      </c>
    </row>
    <row r="29" spans="1:5" x14ac:dyDescent="0.15">
      <c r="A29" s="8" t="s">
        <v>72</v>
      </c>
      <c r="B29" s="11" t="s">
        <v>98</v>
      </c>
      <c r="C29" s="12" t="s">
        <v>99</v>
      </c>
      <c r="D29" t="str">
        <f t="shared" si="0"/>
        <v>1.4286</v>
      </c>
      <c r="E29" s="16">
        <v>1.4286000000000001</v>
      </c>
    </row>
    <row r="30" spans="1:5" x14ac:dyDescent="0.15">
      <c r="A30" s="8" t="s">
        <v>130</v>
      </c>
      <c r="B30" s="11"/>
      <c r="C30" s="12" t="s">
        <v>131</v>
      </c>
      <c r="D30" t="str">
        <f t="shared" si="0"/>
        <v>0.0341</v>
      </c>
      <c r="E30" s="16">
        <v>3.4099999999999998E-2</v>
      </c>
    </row>
    <row r="31" spans="1:5" x14ac:dyDescent="0.15">
      <c r="A31" s="8"/>
      <c r="B31" s="11"/>
      <c r="C31" s="12" t="s">
        <v>132</v>
      </c>
    </row>
    <row r="32" spans="1:5" x14ac:dyDescent="0.15">
      <c r="A32" s="8" t="s">
        <v>133</v>
      </c>
      <c r="B32" s="11" t="s">
        <v>134</v>
      </c>
      <c r="C32" s="12" t="s">
        <v>135</v>
      </c>
      <c r="D32" t="str">
        <f t="shared" si="0"/>
        <v>0.1229</v>
      </c>
      <c r="E32" s="16">
        <v>1.2290000000000001</v>
      </c>
    </row>
    <row r="33" spans="1:5" x14ac:dyDescent="0.15">
      <c r="A33" s="8" t="s">
        <v>136</v>
      </c>
      <c r="B33" s="9" t="s">
        <v>137</v>
      </c>
      <c r="C33" s="12"/>
      <c r="D33" t="str">
        <f t="shared" si="0"/>
        <v/>
      </c>
      <c r="E33" t="s">
        <v>154</v>
      </c>
    </row>
    <row r="34" spans="1:5" x14ac:dyDescent="0.15">
      <c r="A34" s="8" t="s">
        <v>73</v>
      </c>
      <c r="B34" s="11"/>
      <c r="C34" s="12"/>
      <c r="D34" t="str">
        <f t="shared" si="0"/>
        <v/>
      </c>
      <c r="E34" t="s">
        <v>154</v>
      </c>
    </row>
    <row r="35" spans="1:5" x14ac:dyDescent="0.15">
      <c r="A35" s="8" t="s">
        <v>74</v>
      </c>
      <c r="B35" s="11" t="s">
        <v>138</v>
      </c>
      <c r="C35" s="12" t="s">
        <v>139</v>
      </c>
      <c r="D35" t="str">
        <f t="shared" si="0"/>
        <v xml:space="preserve">0.643 </v>
      </c>
      <c r="E35" s="16">
        <v>0.64300000000000002</v>
      </c>
    </row>
    <row r="36" spans="1:5" x14ac:dyDescent="0.15">
      <c r="A36" s="8" t="s">
        <v>75</v>
      </c>
      <c r="B36" s="11" t="s">
        <v>140</v>
      </c>
      <c r="C36" s="12" t="s">
        <v>141</v>
      </c>
      <c r="D36" t="str">
        <f t="shared" si="0"/>
        <v xml:space="preserve">0.471 </v>
      </c>
      <c r="E36" s="16">
        <v>0.47099999999999997</v>
      </c>
    </row>
    <row r="37" spans="1:5" x14ac:dyDescent="0.15">
      <c r="A37" s="8" t="s">
        <v>76</v>
      </c>
      <c r="B37" s="11" t="s">
        <v>142</v>
      </c>
      <c r="C37" s="12" t="s">
        <v>143</v>
      </c>
      <c r="D37" t="str">
        <f t="shared" si="0"/>
        <v xml:space="preserve">0.429 </v>
      </c>
      <c r="E37" s="16">
        <v>0.42899999999999999</v>
      </c>
    </row>
    <row r="38" spans="1:5" x14ac:dyDescent="0.15">
      <c r="A38" s="8" t="s">
        <v>77</v>
      </c>
      <c r="B38" s="11" t="s">
        <v>144</v>
      </c>
      <c r="C38" s="12" t="s">
        <v>145</v>
      </c>
      <c r="D38" t="str">
        <f t="shared" si="0"/>
        <v xml:space="preserve">0.529 </v>
      </c>
      <c r="E38" s="16">
        <v>0.52900000000000003</v>
      </c>
    </row>
    <row r="39" spans="1:5" x14ac:dyDescent="0.15">
      <c r="A39" s="8" t="s">
        <v>78</v>
      </c>
      <c r="B39" s="11" t="s">
        <v>138</v>
      </c>
      <c r="C39" s="12" t="s">
        <v>139</v>
      </c>
      <c r="D39" t="str">
        <f t="shared" si="0"/>
        <v xml:space="preserve">0.643 </v>
      </c>
      <c r="E39" s="16">
        <v>0.64300000000000002</v>
      </c>
    </row>
    <row r="40" spans="1:5" x14ac:dyDescent="0.15">
      <c r="A40" s="8" t="s">
        <v>79</v>
      </c>
      <c r="B40" s="11" t="s">
        <v>146</v>
      </c>
      <c r="C40" s="12" t="s">
        <v>147</v>
      </c>
      <c r="D40" t="str">
        <f t="shared" si="0"/>
        <v xml:space="preserve">0.543 </v>
      </c>
      <c r="E40" s="16">
        <v>0.54300000000000004</v>
      </c>
    </row>
    <row r="41" spans="1:5" x14ac:dyDescent="0.15">
      <c r="A41" s="8" t="s">
        <v>80</v>
      </c>
      <c r="B41" s="11" t="s">
        <v>142</v>
      </c>
      <c r="C41" s="12" t="s">
        <v>143</v>
      </c>
      <c r="D41" t="str">
        <f t="shared" si="0"/>
        <v xml:space="preserve">0.429 </v>
      </c>
      <c r="E41" s="16">
        <v>0.42899999999999999</v>
      </c>
    </row>
    <row r="42" spans="1:5" x14ac:dyDescent="0.15">
      <c r="A42" s="8" t="s">
        <v>81</v>
      </c>
      <c r="B42" s="11" t="s">
        <v>148</v>
      </c>
      <c r="C42" s="12" t="s">
        <v>149</v>
      </c>
      <c r="D42" t="str">
        <f t="shared" si="0"/>
        <v xml:space="preserve">0.500 </v>
      </c>
      <c r="E42" s="16">
        <v>0.5</v>
      </c>
    </row>
    <row r="43" spans="1:5" x14ac:dyDescent="0.15">
      <c r="A43" s="8" t="s">
        <v>82</v>
      </c>
      <c r="B43" s="11" t="s">
        <v>144</v>
      </c>
      <c r="C43" s="12" t="s">
        <v>145</v>
      </c>
      <c r="D43" t="str">
        <f t="shared" si="0"/>
        <v xml:space="preserve">0.529 </v>
      </c>
      <c r="E43" s="16">
        <v>0.52900000000000003</v>
      </c>
    </row>
    <row r="44" spans="1:5" x14ac:dyDescent="0.15">
      <c r="A44" s="8" t="s">
        <v>83</v>
      </c>
      <c r="B44" s="11" t="s">
        <v>140</v>
      </c>
      <c r="C44" s="12" t="s">
        <v>141</v>
      </c>
      <c r="D44" t="str">
        <f t="shared" si="0"/>
        <v xml:space="preserve">0.471 </v>
      </c>
      <c r="E44" s="16">
        <v>0.47099999999999997</v>
      </c>
    </row>
    <row r="45" spans="1:5" x14ac:dyDescent="0.15">
      <c r="A45" s="8" t="s">
        <v>84</v>
      </c>
      <c r="B45" s="11" t="s">
        <v>148</v>
      </c>
      <c r="C45" s="12" t="s">
        <v>149</v>
      </c>
      <c r="D45" t="str">
        <f t="shared" si="0"/>
        <v xml:space="preserve">0.500 </v>
      </c>
      <c r="E45" s="16">
        <v>0.5</v>
      </c>
    </row>
    <row r="46" spans="1:5" x14ac:dyDescent="0.15">
      <c r="A46" s="8" t="s">
        <v>85</v>
      </c>
      <c r="B46" s="11" t="s">
        <v>150</v>
      </c>
      <c r="C46" s="12" t="s">
        <v>151</v>
      </c>
      <c r="D46" t="str">
        <f t="shared" si="0"/>
        <v xml:space="preserve">0.571 </v>
      </c>
      <c r="E46" s="16">
        <v>0.57099999999999995</v>
      </c>
    </row>
    <row r="47" spans="1:5" x14ac:dyDescent="0.15">
      <c r="A47" s="8" t="s">
        <v>86</v>
      </c>
      <c r="B47" s="11" t="s">
        <v>152</v>
      </c>
      <c r="C47" s="12" t="s">
        <v>153</v>
      </c>
      <c r="D47" t="str">
        <f t="shared" si="0"/>
        <v xml:space="preserve">0.714 </v>
      </c>
      <c r="E47" s="16">
        <v>0.71399999999999997</v>
      </c>
    </row>
    <row r="48" spans="1:5" ht="14.25" thickBot="1" x14ac:dyDescent="0.2">
      <c r="A48" s="13" t="s">
        <v>157</v>
      </c>
      <c r="B48" s="14"/>
      <c r="C48" s="15"/>
      <c r="E48" s="17">
        <v>1.1539999999999999</v>
      </c>
    </row>
    <row r="49" spans="1:5" x14ac:dyDescent="0.15">
      <c r="A49" s="8" t="s">
        <v>158</v>
      </c>
      <c r="E49" s="17">
        <v>1.3108</v>
      </c>
    </row>
  </sheetData>
  <mergeCells count="1">
    <mergeCell ref="A1:C1"/>
  </mergeCells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>
    <row r="1" spans="1:1" x14ac:dyDescent="0.15">
      <c r="A1">
        <f>COAL!O32+FG!O32+OIL!O32+ROIL!O32+NG!O32+ELEH!O32+OTHE!O32</f>
        <v>160016.38775975021</v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COAL</vt:lpstr>
      <vt:lpstr>FG</vt:lpstr>
      <vt:lpstr>OIL</vt:lpstr>
      <vt:lpstr>ROIL</vt:lpstr>
      <vt:lpstr>NG</vt:lpstr>
      <vt:lpstr>ELEH</vt:lpstr>
      <vt:lpstr>OTHE</vt:lpstr>
      <vt:lpstr>CONVERSION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Da ZHANG</cp:lastModifiedBy>
  <dcterms:created xsi:type="dcterms:W3CDTF">2012-02-10T15:02:04Z</dcterms:created>
  <dcterms:modified xsi:type="dcterms:W3CDTF">2012-02-13T03:18:50Z</dcterms:modified>
</cp:coreProperties>
</file>